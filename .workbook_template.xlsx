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Lead Handoff" sheetId="2" r:id="rId6"/>
    <sheet state="visible" name="Discovery" sheetId="3" r:id="rId7"/>
    <sheet state="visible" name="Estimate" sheetId="4" r:id="rId8"/>
    <sheet state="visible" name="Roadmap" sheetId="5" r:id="rId9"/>
    <sheet state="visible" name="Backlog" sheetId="6" r:id="rId10"/>
    <sheet state="visible" name="Access &amp; Env" sheetId="7" r:id="rId11"/>
    <sheet state="visible" name="Daily Report" sheetId="8" r:id="rId12"/>
    <sheet state="visible" name="Weekly Report" sheetId="9" r:id="rId13"/>
    <sheet state="visible" name="Change Log" sheetId="10" r:id="rId14"/>
    <sheet state="visible" name="Project Note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З буфером × Ставка. Ціна задачі для клієнта.</t>
      </text>
    </comment>
    <comment authorId="0" ref="K10">
      <text>
        <t xml:space="preserve">In: входить в офер. Out: обговорили, але не робимо.</t>
      </text>
    </comment>
    <comment authorId="0" ref="L10">
      <text>
        <t xml:space="preserve">На чому тримається оцінка. Зламалось припущення → запис у Change Log.</t>
      </text>
    </comment>
    <comment authorId="0" ref="E10">
      <text>
        <t xml:space="preserve">Оптимістична оцінка: все йде гладко, вимоги зрозумілі.</t>
      </text>
    </comment>
    <comment authorId="0" ref="F10">
      <text>
        <t xml:space="preserve">Найімовірніша оцінка: як зазвичай буває на схожих задачах.</t>
      </text>
    </comment>
    <comment authorId="0" ref="G10">
      <text>
        <t xml:space="preserve">Песимістична оцінка: проблеми з API, переробки, неточні вимоги.</t>
      </text>
    </comment>
    <comment authorId="0" ref="H10">
      <text>
        <t xml:space="preserve">(Min + 4×Likely + Max) / 6. Широкий діапазон тягне оцінку вгору, так ризик задачі потрапляє в цифру.</t>
      </text>
    </comment>
    <comment authorId="0" ref="I10">
      <text>
        <t xml:space="preserve">PERT × (1 + Буфер на ризики). Години, які йдуть у ціну оферу.</t>
      </text>
    </comment>
  </commentList>
</comments>
</file>

<file path=xl/sharedStrings.xml><?xml version="1.0" encoding="utf-8"?>
<sst xmlns="http://schemas.openxmlformats.org/spreadsheetml/2006/main" count="508" uniqueCount="349">
  <si>
    <t>PM Workbook: [Назва проєкту]</t>
  </si>
  <si>
    <t>Lead Handoff</t>
  </si>
  <si>
    <t>Один файл на проєкт. Копіюй цей шаблон для кожного нового ліда. Тут коротка картка проєкту, офер і зміст. Жовті клітинки заповнює PM, сірі рядки на інших листах є прикладами, їх видаляють.</t>
  </si>
  <si>
    <t>Що сейл знає про клієнта і проєкт на момент передачі PM. Дані з Upwork показують платоспроможність і серйозність клієнта ще до першого дзвінка. Заповнюється один раз, далі оновлюється за потреби.</t>
  </si>
  <si>
    <t>Картка проєкту</t>
  </si>
  <si>
    <t>Поле</t>
  </si>
  <si>
    <t>Estimate (WBS)</t>
  </si>
  <si>
    <t>Декомпозиція робіт і оцінка в годинах. Scope живе тільки тут: колонки Scope (In/Out) і Припущення. Ціна оферу і Roadmap беруться звідси. Що означає кожна метрика, дивись у довідці праворуч (колонки N–O).</t>
  </si>
  <si>
    <t>Значення</t>
  </si>
  <si>
    <t>Примітка / звідки</t>
  </si>
  <si>
    <t>Про клієнта і проєкт</t>
  </si>
  <si>
    <t>Проєкт</t>
  </si>
  <si>
    <t>Вхідні параметри</t>
  </si>
  <si>
    <t>Discovery Questionnaire</t>
  </si>
  <si>
    <t>Підсумки</t>
  </si>
  <si>
    <t>Що треба з'ясувати в клієнта. Статус «Відкрите» означає діру в розумінні проєкту: до оферу таких питань у блоках, що впливають на оцінку, бути не повинно.</t>
  </si>
  <si>
    <t>Довідка по метриках</t>
  </si>
  <si>
    <t>Клієнт (компанія, контакт)</t>
  </si>
  <si>
    <t>Відкритих питань</t>
  </si>
  <si>
    <t>Клієнт</t>
  </si>
  <si>
    <t>Ставка, $/год</t>
  </si>
  <si>
    <t>Хто він, сайт, LinkedIn</t>
  </si>
  <si>
    <t>Проблема</t>
  </si>
  <si>
    <t>Джерело: внутрішня ставка компанії</t>
  </si>
  <si>
    <t>Що болить своїми словами клієнта</t>
  </si>
  <si>
    <t>PERT In scope, год</t>
  </si>
  <si>
    <t>Що хоче отримати</t>
  </si>
  <si>
    <t>Очікуваний результат</t>
  </si>
  <si>
    <t>Бюджет</t>
  </si>
  <si>
    <t>Озвучений або з job post</t>
  </si>
  <si>
    <t>Дедлайн</t>
  </si>
  <si>
    <t>Жорсткий чи бажаний, чим зумовлений</t>
  </si>
  <si>
    <t>Хто приймає рішення</t>
  </si>
  <si>
    <t>ЛПР, хто ще впливає</t>
  </si>
  <si>
    <t>Галузь / compliance</t>
  </si>
  <si>
    <t>Fintech, healthcare; HIPAA, PCI DSS, GDPR тощо</t>
  </si>
  <si>
    <t>Джерело ліда</t>
  </si>
  <si>
    <t>Upwork / рекомендація / інше</t>
  </si>
  <si>
    <t>Нотатки сейла</t>
  </si>
  <si>
    <t>Враження, ризики, домовленості</t>
  </si>
  <si>
    <t>з них впливають на оцінку</t>
  </si>
  <si>
    <t>Дані з Upwork</t>
  </si>
  <si>
    <t>Етап</t>
  </si>
  <si>
    <t>Job post URL</t>
  </si>
  <si>
    <t>Метрика</t>
  </si>
  <si>
    <t>Назва job post</t>
  </si>
  <si>
    <t>Тип контракту</t>
  </si>
  <si>
    <t>Що означає і навіщо</t>
  </si>
  <si>
    <t>Буфер на ризики</t>
  </si>
  <si>
    <t>Джерело: рішення PM, залежить від невизначеності</t>
  </si>
  <si>
    <t>Out of scope, год</t>
  </si>
  <si>
    <t xml:space="preserve"> Hourly Rate</t>
  </si>
  <si>
    <t>Hourly / Fixed</t>
  </si>
  <si>
    <t>Бюджет або rate у job post</t>
  </si>
  <si>
    <t>Лід</t>
  </si>
  <si>
    <t>Payment verified</t>
  </si>
  <si>
    <t>PM</t>
  </si>
  <si>
    <t>Так / Ні</t>
  </si>
  <si>
    <t>Блок</t>
  </si>
  <si>
    <t>Старт</t>
  </si>
  <si>
    <t>Рейтинг клієнта</t>
  </si>
  <si>
    <t>Питання</t>
  </si>
  <si>
    <t>Зірки</t>
  </si>
  <si>
    <t>Відповідь</t>
  </si>
  <si>
    <t>Кількість відгуків</t>
  </si>
  <si>
    <t>Статус</t>
  </si>
  <si>
    <t>Total spent</t>
  </si>
  <si>
    <t>Впливає на оцінку</t>
  </si>
  <si>
    <t>$</t>
  </si>
  <si>
    <t>Хто відповів</t>
  </si>
  <si>
    <t>Hire rate</t>
  </si>
  <si>
    <t>%</t>
  </si>
  <si>
    <t>Дата</t>
  </si>
  <si>
    <t>Кількість наймів</t>
  </si>
  <si>
    <t>Відкриті вакансії</t>
  </si>
  <si>
    <t>Скільки коштує година роботи для клієнта. Множник для всіх грошових сум.</t>
  </si>
  <si>
    <t>Скільки job posts активні зараз</t>
  </si>
  <si>
    <t>Країна / таймзона</t>
  </si>
  <si>
    <t>Посилання</t>
  </si>
  <si>
    <t>Member since</t>
  </si>
  <si>
    <t>Proposals на job post</t>
  </si>
  <si>
    <t>Upwork</t>
  </si>
  <si>
    <t>Разом In scope, год (з буфером)</t>
  </si>
  <si>
    <t>Конкуренція</t>
  </si>
  <si>
    <t>Interviewing</t>
  </si>
  <si>
    <t>Скільки вже на співбесідах</t>
  </si>
  <si>
    <t>Репозиторій</t>
  </si>
  <si>
    <t>Invites sent</t>
  </si>
  <si>
    <t>Трекер (Jira / Linear)</t>
  </si>
  <si>
    <t>Connects витрачено</t>
  </si>
  <si>
    <t>Бізнес-ціль</t>
  </si>
  <si>
    <t>Канал комунікації</t>
  </si>
  <si>
    <t>Дата відправки proposal</t>
  </si>
  <si>
    <t>Офер</t>
  </si>
  <si>
    <t>Діапазон In scope, год (Min)</t>
  </si>
  <si>
    <t>Приклад: Яка частка заявок зараз обробляється вручну?</t>
  </si>
  <si>
    <t>~70%, ціль знизити до 20% за 6 міс.</t>
  </si>
  <si>
    <t>Оцінка, год (In scope, з буфером)</t>
  </si>
  <si>
    <t>Відсоток зверху на невідоме: уточнення вимог, баги, комунікацію. 10–15% для зрозумілого проєкту, 20–30% для нового домену або складних інтеграцій.</t>
  </si>
  <si>
    <t>Ціна оферу, $</t>
  </si>
  <si>
    <t>Відповіли</t>
  </si>
  <si>
    <t>Так</t>
  </si>
  <si>
    <t>CTO клієнта</t>
  </si>
  <si>
    <t>2026-10-14</t>
  </si>
  <si>
    <t>Діапазон In scope, год (Max)</t>
  </si>
  <si>
    <t>Яку бізнес-проблему вирішуємо? Що станеться, якщо нічого не робити?</t>
  </si>
  <si>
    <t>Min, год</t>
  </si>
  <si>
    <t>Оптимістична оцінка: все йде гладко, вимоги зрозумілі.</t>
  </si>
  <si>
    <t>Likely, год</t>
  </si>
  <si>
    <t>Найімовірніша оцінка: як зазвичай буває на схожих задачах.</t>
  </si>
  <si>
    <t>Відкрите</t>
  </si>
  <si>
    <t>WBS ID</t>
  </si>
  <si>
    <t>Етап / Epic</t>
  </si>
  <si>
    <t>Задача</t>
  </si>
  <si>
    <t>Роль</t>
  </si>
  <si>
    <t>Як вимірюватимемо успіх (метрики, цифри)?</t>
  </si>
  <si>
    <t>Max, год</t>
  </si>
  <si>
    <t>PERT, год</t>
  </si>
  <si>
    <t>Зміни scope, $ (затверджені)</t>
  </si>
  <si>
    <t>З буфером, год</t>
  </si>
  <si>
    <t>Чому саме зараз? Що зумовлює дедлайн?</t>
  </si>
  <si>
    <t>Вартість, $</t>
  </si>
  <si>
    <t>Scope</t>
  </si>
  <si>
    <t>Припущення / коментар</t>
  </si>
  <si>
    <t>Песимістична оцінка: проблеми з API, переробки, неточні вимоги. Не катастрофа, а реалістичний поганий сценарій.</t>
  </si>
  <si>
    <t>Хто ще залучений з боку клієнта і хто приймає фінальне рішення?</t>
  </si>
  <si>
    <t>1.1</t>
  </si>
  <si>
    <t>Авторизація</t>
  </si>
  <si>
    <t>Приклад: логін через email + 2FA</t>
  </si>
  <si>
    <t>Поточна вартість, $</t>
  </si>
  <si>
    <t>Чи є бюджетна рамка або очікування по вартості?</t>
  </si>
  <si>
    <t>Backend</t>
  </si>
  <si>
    <t>Користувачі</t>
  </si>
  <si>
    <t>Хто користувачі (ролі)? Скільки їх зараз і через рік?</t>
  </si>
  <si>
    <t>Дата відправки оферу</t>
  </si>
  <si>
    <t>Основні сценарії для кожної ролі?</t>
  </si>
  <si>
    <t>Статус оферу</t>
  </si>
  <si>
    <t>Платформи: web, mobile, internal tool?</t>
  </si>
  <si>
    <t>Мови, регіони, доступність (accessibility)?</t>
  </si>
  <si>
    <t>Лист</t>
  </si>
  <si>
    <t>Інтеграції</t>
  </si>
  <si>
    <t>З якими системами інтегруємось (EHR, платіжні шлюзи, банки, CRM)?</t>
  </si>
  <si>
    <t>Навіщо</t>
  </si>
  <si>
    <t>Хто заповнює</t>
  </si>
  <si>
    <t>Чи є API і документація? Хто дає доступ до sandbox?</t>
  </si>
  <si>
    <t>Існуюча система: що лишається, що замінюємо?</t>
  </si>
  <si>
    <t>Вхідні дані від сейла і з Upwork. Заповнюється до першого дзвінка.</t>
  </si>
  <si>
    <t>Обмеження по стеку або хостингу з боку клієнта?</t>
  </si>
  <si>
    <t>Sales. PM доповнює після першого дзвінка</t>
  </si>
  <si>
    <t>Discovery</t>
  </si>
  <si>
    <t>Дані</t>
  </si>
  <si>
    <t>Питання до клієнта за блоками і відповіді. Показує, що ще не з'ясовано.</t>
  </si>
  <si>
    <t>Які дані обробляємо? Є PII, PHI, платіжні дані?</t>
  </si>
  <si>
    <t>PM + Lead відповідає за блоки Інтеграції, Дані, Compliance</t>
  </si>
  <si>
    <t>Обсяги даних і навантаження?</t>
  </si>
  <si>
    <t>Estimate</t>
  </si>
  <si>
    <t>WBS, оцінка в годинах, scope (In/Out), припущення. Звідси ціна оферу і Roadmap.</t>
  </si>
  <si>
    <t>Lead + Dev: задачі і години (Min/Likely/Max). PM: ставка, буфер, Scope, рядок демо</t>
  </si>
  <si>
    <t>In</t>
  </si>
  <si>
    <t>Використовуємо Auth0, без кастомного SSO</t>
  </si>
  <si>
    <t>Roadmap</t>
  </si>
  <si>
    <t>Етапи, milestones, залежності. Будується з WBS.</t>
  </si>
  <si>
    <t>Потрібна міграція з існуючої системи?</t>
  </si>
  <si>
    <t>Зважене середнє (Min + 4×Likely + Max) / 6. Likely має найбільшу вагу, але широкий діапазон тягне оцінку вгору. Так ризик задачі потрапляє в цифру.</t>
  </si>
  <si>
    <t>PM + Lead перевіряє залежності та терміни</t>
  </si>
  <si>
    <t>Backlog</t>
  </si>
  <si>
    <t>Задачі для команди, прив'язані до WBS.</t>
  </si>
  <si>
    <t>PM створює задачі. Dev оновлює статус і факт годин. Lead додає технічні задачі</t>
  </si>
  <si>
    <t>Access &amp; Env</t>
  </si>
  <si>
    <t>Чекліст доступів і середовищ. Без паролів.</t>
  </si>
  <si>
    <t>Де мають зберігатись дані (регіон, хмара)?</t>
  </si>
  <si>
    <t>PM запитує у клієнта. Lead / Dev підтверджують отримання</t>
  </si>
  <si>
    <t>Daily Report</t>
  </si>
  <si>
    <t>Щоденні репорти, коли клієнт їх просить.</t>
  </si>
  <si>
    <t>Dev, кожен свій рядок</t>
  </si>
  <si>
    <t>Weekly Report</t>
  </si>
  <si>
    <t>Щотижневий репорт клієнту: зроблено, фічі, ризики, що потрібно від клієнта.</t>
  </si>
  <si>
    <t>Compliance</t>
  </si>
  <si>
    <t>PM, на основі Daily Report і Backlog</t>
  </si>
  <si>
    <t>Healthcare: потрібна відповідність HIPAA? Хто підписує BAA?</t>
  </si>
  <si>
    <t>Change Log</t>
  </si>
  <si>
    <t>Кожна зміна scope з впливом на години, гроші та дедлайн.</t>
  </si>
  <si>
    <t>PM + Lead оцінює вплив у годинах. Sales узгоджує, якщо зміна впливає на контракт</t>
  </si>
  <si>
    <t>Project Notes</t>
  </si>
  <si>
    <t>Журнал PM: дзвінки, рішення, питання, action items.</t>
  </si>
  <si>
    <t>Fintech: PCI DSS, KYC/AML, ліцензії? Хто відповідає за сертифікацію?</t>
  </si>
  <si>
    <t>PERT × (1 + Буфер на ризики). Години, які йдуть у ціну оферу.</t>
  </si>
  <si>
    <t>Легенда</t>
  </si>
  <si>
    <t>Жовта клітинка</t>
  </si>
  <si>
    <t>Заповнює PM</t>
  </si>
  <si>
    <t>GDPR / локальні закони про дані? Потрібен DPA?</t>
  </si>
  <si>
    <t>Сірий рядок</t>
  </si>
  <si>
    <t>Приклад формату, видалити перед роботою</t>
  </si>
  <si>
    <t>Вимоги до аудит-логів, шифрування, зберігання даних?</t>
  </si>
  <si>
    <t>Біла клітинка з формулою</t>
  </si>
  <si>
    <t>Рахується сама, не редагувати</t>
  </si>
  <si>
    <t>Чи буде зовнішній аудит безпеки або pen test?</t>
  </si>
  <si>
    <t>Критерії успіху</t>
  </si>
  <si>
    <t>Що має бути в MVP, без чого запуск неможливий?</t>
  </si>
  <si>
    <t>Як клієнт прийматиме роботу (UAT, критерії приймання)?</t>
  </si>
  <si>
    <t>З буфером × Ставка. Ціна задачі для клієнта.</t>
  </si>
  <si>
    <t>Хто тестує з боку клієнта і скільки часу на прийом?</t>
  </si>
  <si>
    <t>Що після запуску: підтримка, SLA, розвиток?</t>
  </si>
  <si>
    <t>In означає входить в офер і рахується в підсумках. Out означає обговорили, але не робимо; фіксується, щоб не було суперечок пізніше.</t>
  </si>
  <si>
    <t>Припущення</t>
  </si>
  <si>
    <t>На чому тримається оцінка задачі (наприклад, «використовуємо Auth0»). Якщо припущення ламається, це підстава для Change Log.</t>
  </si>
  <si>
    <t>Разом In scope (з буфером)</t>
  </si>
  <si>
    <t>Сума годин з буфером по задачах In. Іде в ціну оферу і на лист Overview.</t>
  </si>
  <si>
    <t>Разом In scope × Ставка. Цифра для Proposal.</t>
  </si>
  <si>
    <t>PERT In scope</t>
  </si>
  <si>
    <t>Сума без буфера. Різниця з «Разом» показує, скільки годин закладено на ризики.</t>
  </si>
  <si>
    <t>Out of scope</t>
  </si>
  <si>
    <t>Обсяг робіт, які свідомо винесли за рамки. Кандидати на наступну фазу або допродаж.</t>
  </si>
  <si>
    <t>Діапазон Min / Max</t>
  </si>
  <si>
    <t>Найкращий і найгірший сценарій по проєкту. Допомагає пояснити клієнту, чому оцінка не одна цифра, і перевірити, що ціна оферу не нижча за реалістичний результат.</t>
  </si>
  <si>
    <t>Демо / презентації</t>
  </si>
  <si>
    <t>Обов'язковий рядок WBS 0.1. Демо по кожному milestone: що показуємо, на якому середовищі, з якими даними. Етап закрито, коли клієнт готовий до наступного кроку: результат прийнято або він питає «що далі».</t>
  </si>
  <si>
    <t>Roadmap / Project Plan</t>
  </si>
  <si>
    <t>Етапи і milestones, зібрані з WBS. Залежності показують, що блокує старт етапу. Milestone з оплатою прив'язує гроші до результату (для Fixed Price). Демо обов'язкове для кожного milestone: план демо заповнюється до старту етапу (червона клітинка означає, що його немає). Етап закрито, коли клієнт готовий до наступного кроку: результат прийнято або він питає «що далі».</t>
  </si>
  <si>
    <t>Етап / Milestone</t>
  </si>
  <si>
    <t>Результат (що отримує клієнт)</t>
  </si>
  <si>
    <t>Початок</t>
  </si>
  <si>
    <t>Кінець</t>
  </si>
  <si>
    <t>Тривалість, днів</t>
  </si>
  <si>
    <t>Залежить від</t>
  </si>
  <si>
    <t>Відповідальний</t>
  </si>
  <si>
    <t>Оплата за milestone, $</t>
  </si>
  <si>
    <t>Демо: що показуємо і як</t>
  </si>
  <si>
    <t>Дата демо</t>
  </si>
  <si>
    <t>Результат демо</t>
  </si>
  <si>
    <t>M1: Авторизація</t>
  </si>
  <si>
    <t>1.1–1.4</t>
  </si>
  <si>
    <t>Приклад: користувач реєструється і входить з 2FA на staging</t>
  </si>
  <si>
    <t>Доступи до Auth0</t>
  </si>
  <si>
    <t>Backend lead</t>
  </si>
  <si>
    <t>Заплановано</t>
  </si>
  <si>
    <t>Приклад: живий прохід на staging: реєстрація → вхід з 2FA під тестовим акаунтом клієнта</t>
  </si>
  <si>
    <t>Задачі для команди. Кожна прив'язана до WBS ID, щоб бачити, скільки оцінки вже витрачено. Якщо ведете задачі в Jira, тут лише посилання і план/факт годин. Для кожної задачі типу Feature обов'язково вирішити, чи показуємо її на демо (червона клітинка означає, що не вирішено). Фіча закрита для клієнта, коли її показали на демо, а не коли статус Done.</t>
  </si>
  <si>
    <t>Оцінка, год</t>
  </si>
  <si>
    <t>Факт, год</t>
  </si>
  <si>
    <t>Факт / оцінка</t>
  </si>
  <si>
    <t>ID</t>
  </si>
  <si>
    <t>Тип</t>
  </si>
  <si>
    <t>Пріоритет</t>
  </si>
  <si>
    <t>Виконавець</t>
  </si>
  <si>
    <t>Спринт</t>
  </si>
  <si>
    <t>На демо</t>
  </si>
  <si>
    <t>Показано на демо</t>
  </si>
  <si>
    <t>B-1</t>
  </si>
  <si>
    <t>Приклад: API ендпоінт /auth/login</t>
  </si>
  <si>
    <t>Feature</t>
  </si>
  <si>
    <t>High</t>
  </si>
  <si>
    <t>Done</t>
  </si>
  <si>
    <t>Олег</t>
  </si>
  <si>
    <t>S1</t>
  </si>
  <si>
    <t>https://jira.example.com/B-1</t>
  </si>
  <si>
    <t>Access &amp; Environments</t>
  </si>
  <si>
    <t>Обов'язковий чекліст на старті і при зміні команди. Паролі, ключі й токени сюди не пишемо: тільки де вони лежать (менеджер паролів, vault).</t>
  </si>
  <si>
    <t>Не отримано</t>
  </si>
  <si>
    <t>Ресурс</t>
  </si>
  <si>
    <t>Середовище</t>
  </si>
  <si>
    <t>URL</t>
  </si>
  <si>
    <t>Хто надає</t>
  </si>
  <si>
    <t>Хто має доступ</t>
  </si>
  <si>
    <t>Примітка</t>
  </si>
  <si>
    <t>Code</t>
  </si>
  <si>
    <t>—</t>
  </si>
  <si>
    <t>Не запитано</t>
  </si>
  <si>
    <t>CI/CD</t>
  </si>
  <si>
    <t>DevOps</t>
  </si>
  <si>
    <t>Dev середовище</t>
  </si>
  <si>
    <t>Environment</t>
  </si>
  <si>
    <t>Dev</t>
  </si>
  <si>
    <t>Staging середовище</t>
  </si>
  <si>
    <t>Stage</t>
  </si>
  <si>
    <t>Production середовище</t>
  </si>
  <si>
    <t>Prod</t>
  </si>
  <si>
    <t>Хмарна консоль (AWS/GCP/Azure)</t>
  </si>
  <si>
    <t>Cloud</t>
  </si>
  <si>
    <t>База даних</t>
  </si>
  <si>
    <t>Data</t>
  </si>
  <si>
    <t>Трекер задач</t>
  </si>
  <si>
    <t>Tool</t>
  </si>
  <si>
    <t>Дизайн (Figma)</t>
  </si>
  <si>
    <t>API ключі сторонніх сервісів</t>
  </si>
  <si>
    <t>Integration</t>
  </si>
  <si>
    <t>Sandbox платіжного шлюзу / EHR</t>
  </si>
  <si>
    <t>Моніторинг і логи</t>
  </si>
  <si>
    <t>Коли клієнт просить щоденні апдейти. Один рядок на людину на день. Блокери з цього листа, що живуть довше дня, переносяться в Weekly Report як ризики.</t>
  </si>
  <si>
    <t>Домен і DNS</t>
  </si>
  <si>
    <t>Infra</t>
  </si>
  <si>
    <t>Хто</t>
  </si>
  <si>
    <t>Менеджер паролів / vault</t>
  </si>
  <si>
    <t>Security</t>
  </si>
  <si>
    <t>Зроблено</t>
  </si>
  <si>
    <t>План</t>
  </si>
  <si>
    <t>Message from the client</t>
  </si>
  <si>
    <t>Год</t>
  </si>
  <si>
    <t>BAA / DPA підписані</t>
  </si>
  <si>
    <t>Посилання (PR, задачі)</t>
  </si>
  <si>
    <t>Приклад: ендпоінт логіну, тести</t>
  </si>
  <si>
    <t>2FA через SMS</t>
  </si>
  <si>
    <t>B-1, PR #12</t>
  </si>
  <si>
    <t>Щотижневий звіт клієнту за фактом виконаної роботи. Один рядок на тиждень. Блок «Що потрібно від клієнта» найважливіший: так блокери стають видимими для того, хто може їх зняти.</t>
  </si>
  <si>
    <t>Тиждень з</t>
  </si>
  <si>
    <t>Тиждень по</t>
  </si>
  <si>
    <t>Статус (RAG)</t>
  </si>
  <si>
    <t>Що зробили</t>
  </si>
  <si>
    <t>Закриті фічі</t>
  </si>
  <si>
    <t>План на наступний тиждень</t>
  </si>
  <si>
    <t>Ризики</t>
  </si>
  <si>
    <t>Що потрібно від клієнта</t>
  </si>
  <si>
    <t>Год за тиждень</t>
  </si>
  <si>
    <t>Год всього</t>
  </si>
  <si>
    <t>Відправлено</t>
  </si>
  <si>
    <t>2026-11-02</t>
  </si>
  <si>
    <t>2026-11-06</t>
  </si>
  <si>
    <t>Жовтий</t>
  </si>
  <si>
    <t>Приклад: авторизація на staging, 70% тестів</t>
  </si>
  <si>
    <t>Логін, реєстрація</t>
  </si>
  <si>
    <t>2FA, відновлення пароля</t>
  </si>
  <si>
    <t>Затримка доступу до SMS-провайдера</t>
  </si>
  <si>
    <t>Доступ до Twilio до середи</t>
  </si>
  <si>
    <t>Кожна зміна scope після оферу: що змінилось і скільки це коштує в годинах, грошах і днях. Без цього листа оцінка застаріває, і зсув дедлайну неможливо пояснити клієнту.</t>
  </si>
  <si>
    <t>Затверджено, год</t>
  </si>
  <si>
    <t>Затверджено, $</t>
  </si>
  <si>
    <t>CR ID</t>
  </si>
  <si>
    <t>Запит</t>
  </si>
  <si>
    <t>Ініціатор</t>
  </si>
  <si>
    <t>Вплив, год</t>
  </si>
  <si>
    <t>Вплив, $</t>
  </si>
  <si>
    <t>Вплив на дедлайн, днів</t>
  </si>
  <si>
    <t>Рішення</t>
  </si>
  <si>
    <t>Дата рішення</t>
  </si>
  <si>
    <t>Журнал PM на весь проєкт: дзвінки, рішення, питання, ідеї. Рішення фіксуються тут з датою, щоб через місяць було видно, хто і чому погодив.</t>
  </si>
  <si>
    <t>CR-1</t>
  </si>
  <si>
    <t>2026-11-10</t>
  </si>
  <si>
    <t>Учасники</t>
  </si>
  <si>
    <t>Приклад: вхід через Google</t>
  </si>
  <si>
    <t>Зміст</t>
  </si>
  <si>
    <t>Рішення / Action items</t>
  </si>
  <si>
    <t>Дзвінок</t>
  </si>
  <si>
    <t>Клієнт (CTO), PM</t>
  </si>
  <si>
    <t>Приклад: обговорили інтеграції з EHR</t>
  </si>
  <si>
    <t>Клієнт дає доступ до sandbox до 20.10</t>
  </si>
  <si>
    <t>2026-10-20</t>
  </si>
  <si>
    <t>Затверджено</t>
  </si>
  <si>
    <t>2026-11-11</t>
  </si>
  <si>
    <t>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</si>
</sst>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"/>
    <numFmt numFmtId="165" formatCode="#,##0.0"/>
    <numFmt numFmtId="166" formatCode="yyyy\-mm\-dd"/>
    <numFmt numFmtId="167" formatCode="yyyy-mm-dd"/>
  </numFmts>
  <fonts count="17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1.0"/>
      <color rgb="FF1F3864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1F3863"/>
      <name val="Arial"/>
    </font>
    <font>
      <b/>
      <sz val="10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rgb="FFFFFFFF"/>
      <name val="Arial"/>
    </font>
    <font>
      <color theme="1"/>
      <name val="Arial"/>
    </font>
    <font>
      <color theme="1"/>
      <name val="Calibri"/>
    </font>
    <font>
      <i/>
      <sz val="10.0"/>
      <color rgb="FF585858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1F3863"/>
        <bgColor rgb="FF1F3863"/>
      </patternFill>
    </fill>
    <fill>
      <patternFill patternType="solid">
        <fgColor rgb="FFEDEDED"/>
        <bgColor rgb="FFEDEDED"/>
      </patternFill>
    </fill>
    <fill>
      <patternFill patternType="solid">
        <fgColor rgb="FFECECEC"/>
        <bgColor rgb="FFECECE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2" fillId="3" fontId="3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0" fillId="0" fontId="8" numFmtId="0" xfId="0" applyFont="1"/>
    <xf borderId="1" fillId="0" fontId="6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4" fontId="5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1" fillId="5" fontId="4" numFmtId="0" xfId="0" applyBorder="1" applyFill="1" applyFont="1"/>
    <xf borderId="1" fillId="5" fontId="4" numFmtId="0" xfId="0" applyAlignment="1" applyBorder="1" applyFill="1" applyFont="1">
      <alignment shrinkToFit="0" wrapText="1"/>
    </xf>
    <xf borderId="2" fillId="4" fontId="5" numFmtId="9" xfId="0" applyAlignment="1" applyBorder="1" applyFill="1" applyFont="1" applyNumberFormat="1">
      <alignment shrinkToFit="0" vertical="bottom" wrapText="0"/>
    </xf>
    <xf borderId="1" fillId="4" fontId="7" numFmtId="166" xfId="0" applyAlignment="1" applyBorder="1" applyFill="1" applyFont="1" applyNumberFormat="1">
      <alignment shrinkToFit="0" vertical="bottom" wrapText="0"/>
    </xf>
    <xf borderId="1" fillId="0" fontId="10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shrinkToFit="0" vertical="bottom" wrapText="0"/>
    </xf>
    <xf borderId="2" fillId="6" fontId="2" numFmtId="0" xfId="0" applyAlignment="1" applyBorder="1" applyFill="1" applyFon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1" fillId="0" fontId="7" numFmtId="0" xfId="0" applyAlignment="1" applyBorder="1" applyFont="1">
      <alignment shrinkToFit="0" vertical="top" wrapText="1"/>
    </xf>
    <xf borderId="1" fillId="0" fontId="7" numFmtId="165" xfId="0" applyAlignment="1" applyBorder="1" applyFont="1" applyNumberFormat="1">
      <alignment shrinkToFit="0" vertical="bottom" wrapText="0"/>
    </xf>
    <xf borderId="1" fillId="4" fontId="7" numFmtId="0" xfId="0" applyAlignment="1" applyBorder="1" applyFill="1" applyFont="1">
      <alignment shrinkToFit="0" vertical="top" wrapText="1"/>
    </xf>
    <xf borderId="1" fillId="0" fontId="7" numFmtId="164" xfId="0" applyAlignment="1" applyBorder="1" applyFont="1" applyNumberFormat="1">
      <alignment shrinkToFit="0" vertical="bottom" wrapText="0"/>
    </xf>
    <xf borderId="2" fillId="6" fontId="2" numFmtId="165" xfId="0" applyAlignment="1" applyBorder="1" applyFill="1" applyFont="1" applyNumberForma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12" numFmtId="0" xfId="0" applyAlignment="1" applyBorder="1" applyFill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top" wrapText="1"/>
    </xf>
    <xf borderId="2" fillId="6" fontId="2" numFmtId="164" xfId="0" applyAlignment="1" applyBorder="1" applyFill="1" applyFont="1" applyNumberFormat="1">
      <alignment shrinkToFit="0" vertical="bottom" wrapText="0"/>
    </xf>
    <xf borderId="1" fillId="0" fontId="13" numFmtId="0" xfId="0" applyAlignment="1" applyBorder="1" applyFont="1">
      <alignment readingOrder="0" shrinkToFit="0" vertical="top" wrapText="1"/>
    </xf>
    <xf borderId="1" fillId="0" fontId="7" numFmtId="165" xfId="0" applyAlignment="1" applyBorder="1" applyFont="1" applyNumberFormat="1">
      <alignment shrinkToFit="0" vertical="top" wrapText="1"/>
    </xf>
    <xf borderId="1" fillId="0" fontId="7" numFmtId="164" xfId="0" applyAlignment="1" applyBorder="1" applyFont="1" applyNumberFormat="1">
      <alignment shrinkToFit="0" vertical="top" wrapText="1"/>
    </xf>
    <xf borderId="1" fillId="6" fontId="7" numFmtId="0" xfId="0" applyAlignment="1" applyBorder="1" applyFill="1" applyFont="1">
      <alignment shrinkToFit="0" vertical="bottom" wrapText="0"/>
    </xf>
    <xf borderId="0" fillId="0" fontId="14" numFmtId="0" xfId="0" applyFont="1"/>
    <xf borderId="1" fillId="5" fontId="4" numFmtId="0" xfId="0" applyAlignment="1" applyBorder="1" applyFill="1" applyFont="1">
      <alignment shrinkToFit="0" vertical="center" wrapText="1"/>
    </xf>
    <xf borderId="2" fillId="6" fontId="2" numFmtId="166" xfId="0" applyAlignment="1" applyBorder="1" applyFill="1" applyFont="1" applyNumberFormat="1">
      <alignment shrinkToFit="0" vertical="bottom" wrapText="0"/>
    </xf>
    <xf borderId="3" fillId="6" fontId="2" numFmtId="164" xfId="0" applyAlignment="1" applyBorder="1" applyFill="1" applyFont="1" applyNumberFormat="1">
      <alignment shrinkToFit="0" vertical="bottom" wrapText="0"/>
    </xf>
    <xf borderId="1" fillId="7" fontId="15" numFmtId="0" xfId="0" applyAlignment="1" applyBorder="1" applyFill="1" applyFont="1">
      <alignment shrinkToFit="0" vertical="top" wrapText="1"/>
    </xf>
    <xf borderId="0" fillId="0" fontId="5" numFmtId="165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7" fontId="15" numFmtId="167" xfId="0" applyAlignment="1" applyBorder="1" applyFill="1" applyFont="1" applyNumberFormat="1">
      <alignment shrinkToFit="0" vertical="top" wrapText="1"/>
    </xf>
    <xf borderId="1" fillId="0" fontId="7" numFmtId="166" xfId="0" applyAlignment="1" applyBorder="1" applyFont="1" applyNumberFormat="1">
      <alignment shrinkToFit="0" vertical="top" wrapText="1"/>
    </xf>
    <xf borderId="1" fillId="0" fontId="11" numFmtId="167" xfId="0" applyAlignment="1" applyBorder="1" applyFont="1" applyNumberFormat="1">
      <alignment shrinkToFit="0" vertical="top" wrapText="1"/>
    </xf>
    <xf borderId="0" fillId="0" fontId="5" numFmtId="0" xfId="0" applyAlignment="1" applyFont="1">
      <alignment shrinkToFit="0" vertical="bottom" wrapText="0"/>
    </xf>
    <xf borderId="0" fillId="0" fontId="5" numFmtId="9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top" wrapText="1"/>
    </xf>
    <xf borderId="0" fillId="0" fontId="11" numFmtId="167" xfId="0" applyAlignment="1" applyFont="1" applyNumberFormat="1">
      <alignment shrinkToFit="0" vertical="top" wrapText="1"/>
    </xf>
    <xf borderId="3" fillId="6" fontId="2" numFmtId="0" xfId="0" applyAlignment="1" applyBorder="1" applyFill="1" applyFont="1">
      <alignment shrinkToFit="0" vertical="bottom" wrapText="0"/>
    </xf>
    <xf borderId="1" fillId="7" fontId="15" numFmtId="0" xfId="0" applyBorder="1" applyFill="1" applyFont="1"/>
    <xf borderId="1" fillId="7" fontId="15" numFmtId="167" xfId="0" applyBorder="1" applyFill="1" applyFont="1" applyNumberFormat="1"/>
    <xf borderId="1" fillId="0" fontId="11" numFmtId="0" xfId="0" applyBorder="1" applyFont="1"/>
    <xf borderId="1" fillId="0" fontId="11" numFmtId="167" xfId="0" applyBorder="1" applyFont="1" applyNumberFormat="1"/>
    <xf borderId="0" fillId="0" fontId="11" numFmtId="0" xfId="0" applyFont="1"/>
    <xf borderId="0" fillId="0" fontId="11" numFmtId="167" xfId="0" applyFont="1" applyNumberFormat="1"/>
    <xf borderId="0" fillId="0" fontId="16" numFmtId="0" xfId="0" applyFont="1"/>
  </cellXfs>
  <cellStyles count="1">
    <cellStyle xfId="0" name="Normal" builtinId="0"/>
  </cellStyles>
  <dxfs count="6">
    <dxf>
      <font>
        <b/>
        <color rgb="FFC00000"/>
      </font>
      <fill>
        <patternFill patternType="none"/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C5EECE"/>
          <bgColor rgb="FFC5EECE"/>
        </patternFill>
      </fill>
      <border/>
    </dxf>
    <dxf>
      <font/>
      <fill>
        <patternFill patternType="solid">
          <fgColor rgb="FFFFC6CE"/>
          <bgColor rgb="FFFFC6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42.0"/>
    <col customWidth="1" min="3" max="3" width="67.29"/>
    <col customWidth="1" min="4" max="4" width="60.0"/>
    <col customWidth="1" min="5" max="6" width="8.71"/>
  </cols>
  <sheetData>
    <row r="1">
      <c r="A1" s="1" t="s">
        <v>0</v>
      </c>
    </row>
    <row r="2" ht="48.0" customHeight="1">
      <c r="A2" s="2" t="s">
        <v>2</v>
      </c>
    </row>
    <row r="4">
      <c r="A4" s="3" t="s">
        <v>4</v>
      </c>
      <c r="B4" s="5"/>
    </row>
    <row r="5">
      <c r="A5" s="7" t="s">
        <v>11</v>
      </c>
      <c r="B5" s="10"/>
    </row>
    <row r="6">
      <c r="A6" s="7" t="s">
        <v>19</v>
      </c>
      <c r="B6" s="17" t="str">
        <f>'Lead Handoff'!B6</f>
        <v/>
      </c>
    </row>
    <row r="7">
      <c r="A7" s="7" t="s">
        <v>42</v>
      </c>
      <c r="B7" s="10" t="s">
        <v>54</v>
      </c>
    </row>
    <row r="8">
      <c r="A8" s="7" t="s">
        <v>56</v>
      </c>
      <c r="B8" s="10"/>
    </row>
    <row r="9">
      <c r="A9" s="7" t="s">
        <v>59</v>
      </c>
      <c r="B9" s="23"/>
    </row>
    <row r="10">
      <c r="A10" s="7" t="s">
        <v>30</v>
      </c>
      <c r="B10" s="23"/>
    </row>
    <row r="11">
      <c r="A11" s="3" t="s">
        <v>78</v>
      </c>
      <c r="B11" s="5"/>
    </row>
    <row r="12">
      <c r="A12" s="26" t="s">
        <v>81</v>
      </c>
      <c r="B12" s="10"/>
    </row>
    <row r="13">
      <c r="A13" s="7" t="s">
        <v>86</v>
      </c>
      <c r="B13" s="10"/>
    </row>
    <row r="14">
      <c r="A14" s="7" t="s">
        <v>88</v>
      </c>
      <c r="B14" s="10"/>
    </row>
    <row r="15">
      <c r="A15" s="7" t="s">
        <v>91</v>
      </c>
      <c r="B15" s="10"/>
    </row>
    <row r="16">
      <c r="A16" s="3" t="s">
        <v>93</v>
      </c>
      <c r="B16" s="5"/>
    </row>
    <row r="17">
      <c r="A17" s="12" t="s">
        <v>46</v>
      </c>
      <c r="B17" s="10" t="s">
        <v>51</v>
      </c>
    </row>
    <row r="18">
      <c r="A18" s="7" t="s">
        <v>97</v>
      </c>
      <c r="B18" s="30">
        <f>Estimate!C7</f>
        <v>14.56666667</v>
      </c>
    </row>
    <row r="19">
      <c r="A19" s="7" t="s">
        <v>99</v>
      </c>
      <c r="B19" s="32">
        <f>Estimate!C8</f>
        <v>582.6666667</v>
      </c>
    </row>
    <row r="20" ht="15.75" customHeight="1">
      <c r="A20" s="7" t="s">
        <v>118</v>
      </c>
      <c r="B20" s="32">
        <f>'Change Log'!B5</f>
        <v>640</v>
      </c>
    </row>
    <row r="21" ht="15.75" customHeight="1">
      <c r="A21" s="7" t="s">
        <v>129</v>
      </c>
      <c r="B21" s="32">
        <f>B19+B20</f>
        <v>1222.666667</v>
      </c>
    </row>
    <row r="22" ht="15.75" customHeight="1">
      <c r="A22" s="7" t="s">
        <v>134</v>
      </c>
      <c r="B22" s="23"/>
    </row>
    <row r="23" ht="15.75" customHeight="1">
      <c r="A23" s="7" t="s">
        <v>136</v>
      </c>
      <c r="B23" s="1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34" t="s">
        <v>139</v>
      </c>
      <c r="B30" s="34" t="s">
        <v>142</v>
      </c>
      <c r="C30" s="35" t="s">
        <v>143</v>
      </c>
    </row>
    <row r="31" ht="15.75" customHeight="1">
      <c r="A31" s="36" t="s">
        <v>1</v>
      </c>
      <c r="B31" s="29" t="s">
        <v>146</v>
      </c>
      <c r="C31" s="37" t="s">
        <v>148</v>
      </c>
    </row>
    <row r="32" ht="15.75" customHeight="1">
      <c r="A32" s="36" t="s">
        <v>149</v>
      </c>
      <c r="B32" s="29" t="s">
        <v>151</v>
      </c>
      <c r="C32" s="39" t="s">
        <v>153</v>
      </c>
    </row>
    <row r="33" ht="15.75" customHeight="1">
      <c r="A33" s="36" t="s">
        <v>155</v>
      </c>
      <c r="B33" s="29" t="s">
        <v>156</v>
      </c>
      <c r="C33" s="37" t="s">
        <v>157</v>
      </c>
    </row>
    <row r="34" ht="15.75" customHeight="1">
      <c r="A34" s="36" t="s">
        <v>160</v>
      </c>
      <c r="B34" s="29" t="s">
        <v>161</v>
      </c>
      <c r="C34" s="39" t="s">
        <v>164</v>
      </c>
    </row>
    <row r="35" ht="15.75" customHeight="1">
      <c r="A35" s="36" t="s">
        <v>165</v>
      </c>
      <c r="B35" s="29" t="s">
        <v>166</v>
      </c>
      <c r="C35" s="37" t="s">
        <v>167</v>
      </c>
    </row>
    <row r="36" ht="15.75" customHeight="1">
      <c r="A36" s="36" t="s">
        <v>168</v>
      </c>
      <c r="B36" s="29" t="s">
        <v>169</v>
      </c>
      <c r="C36" s="37" t="s">
        <v>171</v>
      </c>
    </row>
    <row r="37" ht="15.75" customHeight="1">
      <c r="A37" s="36" t="s">
        <v>172</v>
      </c>
      <c r="B37" s="29" t="s">
        <v>173</v>
      </c>
      <c r="C37" s="37" t="s">
        <v>174</v>
      </c>
    </row>
    <row r="38" ht="15.75" customHeight="1">
      <c r="A38" s="36" t="s">
        <v>175</v>
      </c>
      <c r="B38" s="29" t="s">
        <v>176</v>
      </c>
      <c r="C38" s="37" t="s">
        <v>178</v>
      </c>
    </row>
    <row r="39" ht="15.75" customHeight="1">
      <c r="A39" s="36" t="s">
        <v>180</v>
      </c>
      <c r="B39" s="29" t="s">
        <v>181</v>
      </c>
      <c r="C39" s="39" t="s">
        <v>182</v>
      </c>
    </row>
    <row r="40" ht="15.75" customHeight="1">
      <c r="A40" s="36" t="s">
        <v>183</v>
      </c>
      <c r="B40" s="29" t="s">
        <v>184</v>
      </c>
      <c r="C40" s="37" t="s">
        <v>56</v>
      </c>
    </row>
    <row r="41" ht="15.75" customHeight="1"/>
    <row r="42" ht="15.75" customHeight="1">
      <c r="A42" s="8" t="s">
        <v>187</v>
      </c>
    </row>
    <row r="43" ht="15.75" customHeight="1">
      <c r="A43" s="10" t="s">
        <v>188</v>
      </c>
      <c r="B43" s="17" t="s">
        <v>189</v>
      </c>
    </row>
    <row r="44" ht="15.75" customHeight="1">
      <c r="A44" s="42" t="s">
        <v>191</v>
      </c>
      <c r="B44" s="17" t="s">
        <v>192</v>
      </c>
    </row>
    <row r="45" ht="15.75" customHeight="1">
      <c r="A45" s="17" t="s">
        <v>194</v>
      </c>
      <c r="B45" s="17" t="s">
        <v>195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D2"/>
  </mergeCells>
  <dataValidations>
    <dataValidation type="list" allowBlank="1" sqref="B23">
      <formula1>"Готується,Відправлено,Переговори,Прийнято,Відхилено"</formula1>
    </dataValidation>
    <dataValidation type="list" allowBlank="1" sqref="B7">
      <formula1>"Лід,Discovery,Оцінка,Офер,Контракт,В роботі,Підтримка,Закрито,Відмова"</formula1>
    </dataValidation>
    <dataValidation type="list" allowBlank="1" sqref="B17">
      <formula1>"Fixed Price,Hourly Rate"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50.0"/>
    <col customWidth="1" min="3" max="3" width="45.0"/>
    <col customWidth="1" min="4" max="6" width="8.71"/>
  </cols>
  <sheetData>
    <row r="1">
      <c r="A1" s="1" t="s">
        <v>1</v>
      </c>
    </row>
    <row r="2" ht="48.0" customHeight="1">
      <c r="A2" s="2" t="s">
        <v>3</v>
      </c>
    </row>
    <row r="4" ht="30.0" customHeight="1">
      <c r="A4" s="4" t="s">
        <v>5</v>
      </c>
      <c r="B4" s="4" t="s">
        <v>8</v>
      </c>
      <c r="C4" s="4" t="s">
        <v>9</v>
      </c>
    </row>
    <row r="5">
      <c r="A5" s="6" t="s">
        <v>10</v>
      </c>
      <c r="B5" s="9"/>
      <c r="C5" s="9"/>
    </row>
    <row r="6">
      <c r="A6" s="12" t="s">
        <v>17</v>
      </c>
      <c r="B6" s="13"/>
      <c r="C6" s="14" t="s">
        <v>21</v>
      </c>
    </row>
    <row r="7">
      <c r="A7" s="12" t="s">
        <v>22</v>
      </c>
      <c r="B7" s="13"/>
      <c r="C7" s="14" t="s">
        <v>24</v>
      </c>
    </row>
    <row r="8">
      <c r="A8" s="12" t="s">
        <v>26</v>
      </c>
      <c r="B8" s="13"/>
      <c r="C8" s="14" t="s">
        <v>27</v>
      </c>
    </row>
    <row r="9">
      <c r="A9" s="12" t="s">
        <v>28</v>
      </c>
      <c r="B9" s="13"/>
      <c r="C9" s="14" t="s">
        <v>29</v>
      </c>
    </row>
    <row r="10">
      <c r="A10" s="12" t="s">
        <v>30</v>
      </c>
      <c r="B10" s="13"/>
      <c r="C10" s="14" t="s">
        <v>31</v>
      </c>
    </row>
    <row r="11">
      <c r="A11" s="12" t="s">
        <v>32</v>
      </c>
      <c r="B11" s="13"/>
      <c r="C11" s="14" t="s">
        <v>33</v>
      </c>
    </row>
    <row r="12">
      <c r="A12" s="12" t="s">
        <v>34</v>
      </c>
      <c r="B12" s="13"/>
      <c r="C12" s="14" t="s">
        <v>35</v>
      </c>
    </row>
    <row r="13">
      <c r="A13" s="12" t="s">
        <v>36</v>
      </c>
      <c r="B13" s="13"/>
      <c r="C13" s="14" t="s">
        <v>37</v>
      </c>
    </row>
    <row r="14">
      <c r="A14" s="12" t="s">
        <v>38</v>
      </c>
      <c r="B14" s="13"/>
      <c r="C14" s="14" t="s">
        <v>39</v>
      </c>
    </row>
    <row r="15">
      <c r="A15" s="6" t="s">
        <v>41</v>
      </c>
      <c r="B15" s="9"/>
      <c r="C15" s="9"/>
    </row>
    <row r="16">
      <c r="A16" s="12" t="s">
        <v>43</v>
      </c>
      <c r="B16" s="13"/>
      <c r="C16" s="14"/>
    </row>
    <row r="17">
      <c r="A17" s="12" t="s">
        <v>45</v>
      </c>
      <c r="B17" s="13"/>
      <c r="C17" s="14"/>
    </row>
    <row r="18">
      <c r="A18" s="12" t="s">
        <v>46</v>
      </c>
      <c r="B18" s="10" t="s">
        <v>51</v>
      </c>
      <c r="C18" s="14" t="s">
        <v>52</v>
      </c>
    </row>
    <row r="19">
      <c r="A19" s="12" t="s">
        <v>53</v>
      </c>
      <c r="B19" s="13"/>
      <c r="C19" s="14"/>
    </row>
    <row r="20">
      <c r="A20" s="12" t="s">
        <v>55</v>
      </c>
      <c r="B20" s="13"/>
      <c r="C20" s="14" t="s">
        <v>57</v>
      </c>
    </row>
    <row r="21" ht="15.75" customHeight="1">
      <c r="A21" s="12" t="s">
        <v>60</v>
      </c>
      <c r="B21" s="13"/>
      <c r="C21" s="14" t="s">
        <v>62</v>
      </c>
    </row>
    <row r="22" ht="15.75" customHeight="1">
      <c r="A22" s="12" t="s">
        <v>64</v>
      </c>
      <c r="B22" s="13"/>
      <c r="C22" s="14"/>
    </row>
    <row r="23" ht="15.75" customHeight="1">
      <c r="A23" s="12" t="s">
        <v>66</v>
      </c>
      <c r="B23" s="13"/>
      <c r="C23" s="14" t="s">
        <v>68</v>
      </c>
    </row>
    <row r="24" ht="15.75" customHeight="1">
      <c r="A24" s="12" t="s">
        <v>70</v>
      </c>
      <c r="B24" s="13"/>
      <c r="C24" s="14" t="s">
        <v>71</v>
      </c>
    </row>
    <row r="25" ht="15.75" customHeight="1">
      <c r="A25" s="12" t="s">
        <v>73</v>
      </c>
      <c r="B25" s="13"/>
      <c r="C25" s="14"/>
    </row>
    <row r="26" ht="15.75" customHeight="1">
      <c r="A26" s="12" t="s">
        <v>74</v>
      </c>
      <c r="B26" s="13"/>
      <c r="C26" s="14" t="s">
        <v>76</v>
      </c>
    </row>
    <row r="27" ht="15.75" customHeight="1">
      <c r="A27" s="12" t="s">
        <v>77</v>
      </c>
      <c r="B27" s="13"/>
      <c r="C27" s="14"/>
    </row>
    <row r="28" ht="15.75" customHeight="1">
      <c r="A28" s="12" t="s">
        <v>79</v>
      </c>
      <c r="B28" s="13"/>
      <c r="C28" s="14"/>
    </row>
    <row r="29" ht="15.75" customHeight="1">
      <c r="A29" s="12" t="s">
        <v>80</v>
      </c>
      <c r="B29" s="13"/>
      <c r="C29" s="14" t="s">
        <v>83</v>
      </c>
    </row>
    <row r="30" ht="15.75" customHeight="1">
      <c r="A30" s="12" t="s">
        <v>84</v>
      </c>
      <c r="B30" s="13"/>
      <c r="C30" s="14" t="s">
        <v>85</v>
      </c>
    </row>
    <row r="31" ht="15.75" customHeight="1">
      <c r="A31" s="12" t="s">
        <v>87</v>
      </c>
      <c r="B31" s="13"/>
      <c r="C31" s="14"/>
    </row>
    <row r="32" ht="15.75" customHeight="1">
      <c r="A32" s="12" t="s">
        <v>89</v>
      </c>
      <c r="B32" s="13"/>
      <c r="C32" s="14"/>
    </row>
    <row r="33" ht="15.75" customHeight="1">
      <c r="A33" s="12" t="s">
        <v>92</v>
      </c>
      <c r="B33" s="13"/>
      <c r="C33" s="1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dataValidations>
    <dataValidation type="list" allowBlank="1" sqref="B18">
      <formula1>"Fixed Price,Hourly Rate"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8.0"/>
    <col customWidth="1" min="2" max="2" width="50.0"/>
    <col customWidth="1" min="3" max="3" width="82.29"/>
    <col customWidth="1" min="4" max="4" width="14.0"/>
    <col customWidth="1" min="5" max="5" width="12.0"/>
    <col customWidth="1" min="6" max="6" width="18.0"/>
    <col customWidth="1" min="7" max="7" width="12.0"/>
  </cols>
  <sheetData>
    <row r="1">
      <c r="A1" s="1" t="s">
        <v>13</v>
      </c>
    </row>
    <row r="2" ht="48.0" customHeight="1">
      <c r="A2" s="2" t="s">
        <v>15</v>
      </c>
    </row>
    <row r="4">
      <c r="A4" s="7" t="s">
        <v>18</v>
      </c>
      <c r="B4" s="18">
        <f>COUNTIF(D7:D500,"Відкрите")</f>
        <v>26</v>
      </c>
      <c r="C4" s="7" t="s">
        <v>40</v>
      </c>
      <c r="D4" s="18">
        <f>COUNTIFS(D7:D500,"Відкрите",E7:E500,"Так")</f>
        <v>26</v>
      </c>
    </row>
    <row r="6" ht="30.0" customHeight="1">
      <c r="A6" s="4" t="s">
        <v>58</v>
      </c>
      <c r="B6" s="4" t="s">
        <v>61</v>
      </c>
      <c r="C6" s="4" t="s">
        <v>63</v>
      </c>
      <c r="D6" s="4" t="s">
        <v>65</v>
      </c>
      <c r="E6" s="4" t="s">
        <v>67</v>
      </c>
      <c r="F6" s="4" t="s">
        <v>69</v>
      </c>
      <c r="G6" s="4" t="s">
        <v>72</v>
      </c>
    </row>
    <row r="7">
      <c r="A7" s="27" t="s">
        <v>90</v>
      </c>
      <c r="B7" s="27" t="s">
        <v>95</v>
      </c>
      <c r="C7" s="27" t="s">
        <v>96</v>
      </c>
      <c r="D7" s="27" t="s">
        <v>100</v>
      </c>
      <c r="E7" s="27" t="s">
        <v>101</v>
      </c>
      <c r="F7" s="27" t="s">
        <v>102</v>
      </c>
      <c r="G7" s="27" t="s">
        <v>103</v>
      </c>
    </row>
    <row r="8">
      <c r="A8" s="29" t="s">
        <v>90</v>
      </c>
      <c r="B8" s="29" t="s">
        <v>105</v>
      </c>
      <c r="C8" s="31"/>
      <c r="D8" s="31" t="s">
        <v>110</v>
      </c>
      <c r="E8" s="31" t="s">
        <v>101</v>
      </c>
      <c r="F8" s="31"/>
      <c r="G8" s="31"/>
    </row>
    <row r="9">
      <c r="A9" s="29" t="s">
        <v>90</v>
      </c>
      <c r="B9" s="29" t="s">
        <v>115</v>
      </c>
      <c r="C9" s="31"/>
      <c r="D9" s="31" t="s">
        <v>110</v>
      </c>
      <c r="E9" s="31" t="s">
        <v>101</v>
      </c>
      <c r="F9" s="31"/>
      <c r="G9" s="31"/>
    </row>
    <row r="10">
      <c r="A10" s="29" t="s">
        <v>90</v>
      </c>
      <c r="B10" s="29" t="s">
        <v>120</v>
      </c>
      <c r="C10" s="31"/>
      <c r="D10" s="31" t="s">
        <v>110</v>
      </c>
      <c r="E10" s="31" t="s">
        <v>101</v>
      </c>
      <c r="F10" s="31"/>
      <c r="G10" s="31"/>
    </row>
    <row r="11">
      <c r="A11" s="29" t="s">
        <v>90</v>
      </c>
      <c r="B11" s="29" t="s">
        <v>125</v>
      </c>
      <c r="C11" s="31"/>
      <c r="D11" s="31" t="s">
        <v>110</v>
      </c>
      <c r="E11" s="31" t="s">
        <v>101</v>
      </c>
      <c r="F11" s="31"/>
      <c r="G11" s="31"/>
    </row>
    <row r="12">
      <c r="A12" s="29" t="s">
        <v>90</v>
      </c>
      <c r="B12" s="29" t="s">
        <v>130</v>
      </c>
      <c r="C12" s="31"/>
      <c r="D12" s="31" t="s">
        <v>110</v>
      </c>
      <c r="E12" s="31" t="s">
        <v>101</v>
      </c>
      <c r="F12" s="31"/>
      <c r="G12" s="31"/>
    </row>
    <row r="13">
      <c r="A13" s="29" t="s">
        <v>132</v>
      </c>
      <c r="B13" s="29" t="s">
        <v>133</v>
      </c>
      <c r="C13" s="31"/>
      <c r="D13" s="31" t="s">
        <v>110</v>
      </c>
      <c r="E13" s="31" t="s">
        <v>101</v>
      </c>
      <c r="F13" s="31"/>
      <c r="G13" s="31"/>
    </row>
    <row r="14">
      <c r="A14" s="29" t="s">
        <v>132</v>
      </c>
      <c r="B14" s="29" t="s">
        <v>135</v>
      </c>
      <c r="C14" s="31"/>
      <c r="D14" s="31" t="s">
        <v>110</v>
      </c>
      <c r="E14" s="31" t="s">
        <v>101</v>
      </c>
      <c r="F14" s="31"/>
      <c r="G14" s="31"/>
    </row>
    <row r="15">
      <c r="A15" s="29" t="s">
        <v>132</v>
      </c>
      <c r="B15" s="29" t="s">
        <v>137</v>
      </c>
      <c r="C15" s="31"/>
      <c r="D15" s="31" t="s">
        <v>110</v>
      </c>
      <c r="E15" s="31" t="s">
        <v>101</v>
      </c>
      <c r="F15" s="31"/>
      <c r="G15" s="31"/>
    </row>
    <row r="16">
      <c r="A16" s="29" t="s">
        <v>132</v>
      </c>
      <c r="B16" s="29" t="s">
        <v>138</v>
      </c>
      <c r="C16" s="31"/>
      <c r="D16" s="31" t="s">
        <v>110</v>
      </c>
      <c r="E16" s="31" t="s">
        <v>101</v>
      </c>
      <c r="F16" s="31"/>
      <c r="G16" s="31"/>
    </row>
    <row r="17">
      <c r="A17" s="29" t="s">
        <v>140</v>
      </c>
      <c r="B17" s="29" t="s">
        <v>141</v>
      </c>
      <c r="C17" s="31"/>
      <c r="D17" s="31" t="s">
        <v>110</v>
      </c>
      <c r="E17" s="31" t="s">
        <v>101</v>
      </c>
      <c r="F17" s="31"/>
      <c r="G17" s="31"/>
    </row>
    <row r="18">
      <c r="A18" s="29" t="s">
        <v>140</v>
      </c>
      <c r="B18" s="29" t="s">
        <v>144</v>
      </c>
      <c r="C18" s="31"/>
      <c r="D18" s="31" t="s">
        <v>110</v>
      </c>
      <c r="E18" s="31" t="s">
        <v>101</v>
      </c>
      <c r="F18" s="31"/>
      <c r="G18" s="31"/>
    </row>
    <row r="19">
      <c r="A19" s="29" t="s">
        <v>140</v>
      </c>
      <c r="B19" s="29" t="s">
        <v>145</v>
      </c>
      <c r="C19" s="31"/>
      <c r="D19" s="31" t="s">
        <v>110</v>
      </c>
      <c r="E19" s="31" t="s">
        <v>101</v>
      </c>
      <c r="F19" s="31"/>
      <c r="G19" s="31"/>
    </row>
    <row r="20">
      <c r="A20" s="29" t="s">
        <v>140</v>
      </c>
      <c r="B20" s="29" t="s">
        <v>147</v>
      </c>
      <c r="C20" s="31"/>
      <c r="D20" s="31" t="s">
        <v>110</v>
      </c>
      <c r="E20" s="31" t="s">
        <v>101</v>
      </c>
      <c r="F20" s="31"/>
      <c r="G20" s="31"/>
    </row>
    <row r="21" ht="15.75" customHeight="1">
      <c r="A21" s="29" t="s">
        <v>150</v>
      </c>
      <c r="B21" s="29" t="s">
        <v>152</v>
      </c>
      <c r="C21" s="31"/>
      <c r="D21" s="31" t="s">
        <v>110</v>
      </c>
      <c r="E21" s="31" t="s">
        <v>101</v>
      </c>
      <c r="F21" s="31"/>
      <c r="G21" s="31"/>
    </row>
    <row r="22" ht="15.75" customHeight="1">
      <c r="A22" s="29" t="s">
        <v>150</v>
      </c>
      <c r="B22" s="29" t="s">
        <v>154</v>
      </c>
      <c r="C22" s="31"/>
      <c r="D22" s="31" t="s">
        <v>110</v>
      </c>
      <c r="E22" s="31" t="s">
        <v>101</v>
      </c>
      <c r="F22" s="31"/>
      <c r="G22" s="31"/>
    </row>
    <row r="23" ht="15.75" customHeight="1">
      <c r="A23" s="29" t="s">
        <v>150</v>
      </c>
      <c r="B23" s="29" t="s">
        <v>162</v>
      </c>
      <c r="C23" s="31"/>
      <c r="D23" s="31" t="s">
        <v>110</v>
      </c>
      <c r="E23" s="31" t="s">
        <v>101</v>
      </c>
      <c r="F23" s="31"/>
      <c r="G23" s="31"/>
    </row>
    <row r="24" ht="15.75" customHeight="1">
      <c r="A24" s="29" t="s">
        <v>150</v>
      </c>
      <c r="B24" s="29" t="s">
        <v>170</v>
      </c>
      <c r="C24" s="31"/>
      <c r="D24" s="31" t="s">
        <v>110</v>
      </c>
      <c r="E24" s="31" t="s">
        <v>101</v>
      </c>
      <c r="F24" s="31"/>
      <c r="G24" s="31"/>
    </row>
    <row r="25" ht="15.75" customHeight="1">
      <c r="A25" s="29" t="s">
        <v>177</v>
      </c>
      <c r="B25" s="29" t="s">
        <v>179</v>
      </c>
      <c r="C25" s="31"/>
      <c r="D25" s="31" t="s">
        <v>110</v>
      </c>
      <c r="E25" s="31" t="s">
        <v>101</v>
      </c>
      <c r="F25" s="31"/>
      <c r="G25" s="31"/>
    </row>
    <row r="26" ht="15.75" customHeight="1">
      <c r="A26" s="29" t="s">
        <v>177</v>
      </c>
      <c r="B26" s="29" t="s">
        <v>185</v>
      </c>
      <c r="C26" s="31"/>
      <c r="D26" s="31" t="s">
        <v>110</v>
      </c>
      <c r="E26" s="31" t="s">
        <v>101</v>
      </c>
      <c r="F26" s="31"/>
      <c r="G26" s="31"/>
    </row>
    <row r="27" ht="15.75" customHeight="1">
      <c r="A27" s="29" t="s">
        <v>177</v>
      </c>
      <c r="B27" s="29" t="s">
        <v>190</v>
      </c>
      <c r="C27" s="31"/>
      <c r="D27" s="31" t="s">
        <v>110</v>
      </c>
      <c r="E27" s="31" t="s">
        <v>101</v>
      </c>
      <c r="F27" s="31"/>
      <c r="G27" s="31"/>
    </row>
    <row r="28" ht="15.75" customHeight="1">
      <c r="A28" s="29" t="s">
        <v>177</v>
      </c>
      <c r="B28" s="29" t="s">
        <v>193</v>
      </c>
      <c r="C28" s="31"/>
      <c r="D28" s="31" t="s">
        <v>110</v>
      </c>
      <c r="E28" s="31" t="s">
        <v>101</v>
      </c>
      <c r="F28" s="31"/>
      <c r="G28" s="31"/>
    </row>
    <row r="29" ht="15.75" customHeight="1">
      <c r="A29" s="29" t="s">
        <v>177</v>
      </c>
      <c r="B29" s="29" t="s">
        <v>196</v>
      </c>
      <c r="C29" s="31"/>
      <c r="D29" s="31" t="s">
        <v>110</v>
      </c>
      <c r="E29" s="31" t="s">
        <v>101</v>
      </c>
      <c r="F29" s="31"/>
      <c r="G29" s="31"/>
    </row>
    <row r="30" ht="15.75" customHeight="1">
      <c r="A30" s="29" t="s">
        <v>197</v>
      </c>
      <c r="B30" s="29" t="s">
        <v>198</v>
      </c>
      <c r="C30" s="31"/>
      <c r="D30" s="31" t="s">
        <v>110</v>
      </c>
      <c r="E30" s="31" t="s">
        <v>101</v>
      </c>
      <c r="F30" s="31"/>
      <c r="G30" s="31"/>
    </row>
    <row r="31" ht="15.75" customHeight="1">
      <c r="A31" s="29" t="s">
        <v>197</v>
      </c>
      <c r="B31" s="29" t="s">
        <v>199</v>
      </c>
      <c r="C31" s="31"/>
      <c r="D31" s="31" t="s">
        <v>110</v>
      </c>
      <c r="E31" s="31" t="s">
        <v>101</v>
      </c>
      <c r="F31" s="31"/>
      <c r="G31" s="31"/>
    </row>
    <row r="32" ht="15.75" customHeight="1">
      <c r="A32" s="29" t="s">
        <v>197</v>
      </c>
      <c r="B32" s="29" t="s">
        <v>201</v>
      </c>
      <c r="C32" s="31"/>
      <c r="D32" s="31" t="s">
        <v>110</v>
      </c>
      <c r="E32" s="31" t="s">
        <v>101</v>
      </c>
      <c r="F32" s="31"/>
      <c r="G32" s="31"/>
    </row>
    <row r="33" ht="15.75" customHeight="1">
      <c r="A33" s="29" t="s">
        <v>197</v>
      </c>
      <c r="B33" s="29" t="s">
        <v>202</v>
      </c>
      <c r="C33" s="31"/>
      <c r="D33" s="31" t="s">
        <v>110</v>
      </c>
      <c r="E33" s="31" t="s">
        <v>101</v>
      </c>
      <c r="F33" s="31"/>
      <c r="G33" s="31"/>
    </row>
    <row r="34" ht="15.75" customHeight="1">
      <c r="A34" s="43"/>
      <c r="D34" s="43"/>
      <c r="E34" s="43"/>
    </row>
    <row r="35" ht="15.75" customHeight="1">
      <c r="A35" s="43"/>
      <c r="D35" s="43"/>
      <c r="E35" s="43"/>
    </row>
    <row r="36" ht="15.75" customHeight="1">
      <c r="A36" s="43"/>
      <c r="D36" s="43"/>
      <c r="E36" s="43"/>
    </row>
    <row r="37" ht="15.75" customHeight="1">
      <c r="A37" s="43"/>
      <c r="D37" s="43"/>
      <c r="E37" s="43"/>
    </row>
    <row r="38" ht="15.75" customHeight="1">
      <c r="A38" s="43"/>
      <c r="D38" s="43"/>
      <c r="E38" s="43"/>
    </row>
    <row r="39" ht="15.75" customHeight="1">
      <c r="A39" s="43"/>
      <c r="D39" s="43"/>
      <c r="E39" s="43"/>
    </row>
    <row r="40" ht="15.75" customHeight="1">
      <c r="A40" s="43"/>
      <c r="D40" s="43"/>
      <c r="E40" s="43"/>
    </row>
    <row r="41" ht="15.75" customHeight="1">
      <c r="A41" s="43"/>
      <c r="D41" s="43"/>
      <c r="E41" s="43"/>
    </row>
    <row r="42" ht="15.75" customHeight="1">
      <c r="A42" s="43"/>
      <c r="D42" s="43"/>
      <c r="E42" s="43"/>
    </row>
    <row r="43" ht="15.75" customHeight="1">
      <c r="A43" s="43"/>
      <c r="D43" s="43"/>
      <c r="E43" s="43"/>
    </row>
    <row r="44" ht="15.75" customHeight="1">
      <c r="A44" s="43"/>
      <c r="D44" s="43"/>
      <c r="E44" s="43"/>
    </row>
    <row r="45" ht="15.75" customHeight="1">
      <c r="A45" s="43"/>
      <c r="D45" s="43"/>
      <c r="E45" s="43"/>
    </row>
    <row r="46" ht="15.75" customHeight="1">
      <c r="A46" s="43"/>
      <c r="D46" s="43"/>
      <c r="E46" s="43"/>
    </row>
    <row r="47" ht="15.75" customHeight="1">
      <c r="A47" s="43"/>
      <c r="D47" s="43"/>
      <c r="E47" s="43"/>
    </row>
    <row r="48" ht="15.75" customHeight="1">
      <c r="A48" s="43"/>
      <c r="D48" s="43"/>
      <c r="E48" s="43"/>
    </row>
    <row r="49" ht="15.75" customHeight="1">
      <c r="A49" s="43"/>
      <c r="D49" s="43"/>
      <c r="E49" s="43"/>
    </row>
    <row r="50" ht="15.75" customHeight="1">
      <c r="A50" s="43"/>
      <c r="D50" s="43"/>
      <c r="E50" s="43"/>
    </row>
    <row r="51" ht="15.75" customHeight="1">
      <c r="A51" s="43"/>
      <c r="D51" s="43"/>
      <c r="E51" s="43"/>
    </row>
    <row r="52" ht="15.75" customHeight="1">
      <c r="A52" s="43"/>
      <c r="D52" s="43"/>
      <c r="E52" s="43"/>
    </row>
    <row r="53" ht="15.75" customHeight="1">
      <c r="A53" s="43"/>
      <c r="D53" s="43"/>
      <c r="E53" s="43"/>
    </row>
    <row r="54" ht="15.75" customHeight="1">
      <c r="A54" s="43"/>
      <c r="D54" s="43"/>
      <c r="E54" s="43"/>
    </row>
    <row r="55" ht="15.75" customHeight="1">
      <c r="A55" s="43"/>
      <c r="D55" s="43"/>
      <c r="E55" s="43"/>
    </row>
    <row r="56" ht="15.75" customHeight="1">
      <c r="A56" s="43"/>
      <c r="D56" s="43"/>
      <c r="E56" s="43"/>
    </row>
    <row r="57" ht="15.75" customHeight="1">
      <c r="A57" s="43"/>
      <c r="D57" s="43"/>
      <c r="E57" s="43"/>
    </row>
    <row r="58" ht="15.75" customHeight="1">
      <c r="A58" s="43"/>
      <c r="D58" s="43"/>
      <c r="E58" s="43"/>
    </row>
    <row r="59" ht="15.75" customHeight="1">
      <c r="A59" s="43"/>
      <c r="D59" s="43"/>
      <c r="E59" s="43"/>
    </row>
    <row r="60" ht="15.75" customHeight="1">
      <c r="A60" s="43"/>
      <c r="D60" s="43"/>
      <c r="E60" s="43"/>
    </row>
    <row r="61" ht="15.75" customHeight="1">
      <c r="A61" s="43"/>
      <c r="D61" s="43"/>
      <c r="E61" s="43"/>
    </row>
    <row r="62" ht="15.75" customHeight="1">
      <c r="A62" s="43"/>
      <c r="D62" s="43"/>
      <c r="E62" s="43"/>
    </row>
    <row r="63" ht="15.75" customHeight="1">
      <c r="A63" s="43"/>
      <c r="D63" s="43"/>
      <c r="E63" s="43"/>
    </row>
    <row r="64" ht="15.75" customHeight="1">
      <c r="A64" s="43"/>
      <c r="D64" s="43"/>
      <c r="E64" s="43"/>
    </row>
    <row r="65" ht="15.75" customHeight="1">
      <c r="A65" s="43"/>
      <c r="D65" s="43"/>
      <c r="E65" s="43"/>
    </row>
    <row r="66" ht="15.75" customHeight="1">
      <c r="A66" s="43"/>
      <c r="D66" s="43"/>
      <c r="E66" s="43"/>
    </row>
    <row r="67" ht="15.75" customHeight="1">
      <c r="A67" s="43"/>
      <c r="D67" s="43"/>
      <c r="E67" s="43"/>
    </row>
    <row r="68" ht="15.75" customHeight="1">
      <c r="A68" s="43"/>
      <c r="D68" s="43"/>
      <c r="E68" s="43"/>
    </row>
    <row r="69" ht="15.75" customHeight="1">
      <c r="A69" s="43"/>
      <c r="D69" s="43"/>
      <c r="E69" s="43"/>
    </row>
    <row r="70" ht="15.75" customHeight="1">
      <c r="A70" s="43"/>
      <c r="D70" s="43"/>
      <c r="E70" s="43"/>
    </row>
    <row r="71" ht="15.75" customHeight="1">
      <c r="A71" s="43"/>
      <c r="D71" s="43"/>
      <c r="E71" s="43"/>
    </row>
    <row r="72" ht="15.75" customHeight="1">
      <c r="A72" s="43"/>
      <c r="D72" s="43"/>
      <c r="E72" s="43"/>
    </row>
    <row r="73" ht="15.75" customHeight="1">
      <c r="A73" s="43"/>
      <c r="D73" s="43"/>
      <c r="E73" s="43"/>
    </row>
    <row r="74" ht="15.75" customHeight="1">
      <c r="A74" s="43"/>
      <c r="D74" s="43"/>
      <c r="E74" s="43"/>
    </row>
    <row r="75" ht="15.75" customHeight="1">
      <c r="A75" s="43"/>
      <c r="D75" s="43"/>
      <c r="E75" s="43"/>
    </row>
    <row r="76" ht="15.75" customHeight="1">
      <c r="A76" s="43"/>
      <c r="D76" s="43"/>
      <c r="E76" s="43"/>
    </row>
    <row r="77" ht="15.75" customHeight="1">
      <c r="A77" s="43"/>
      <c r="D77" s="43"/>
      <c r="E77" s="43"/>
    </row>
    <row r="78" ht="15.75" customHeight="1">
      <c r="A78" s="43"/>
      <c r="D78" s="43"/>
      <c r="E78" s="43"/>
    </row>
    <row r="79" ht="15.75" customHeight="1">
      <c r="A79" s="43"/>
      <c r="D79" s="43"/>
      <c r="E79" s="43"/>
    </row>
    <row r="80" ht="15.75" customHeight="1">
      <c r="A80" s="43"/>
      <c r="D80" s="43"/>
      <c r="E80" s="43"/>
    </row>
    <row r="81" ht="15.75" customHeight="1">
      <c r="A81" s="43"/>
      <c r="D81" s="43"/>
      <c r="E81" s="43"/>
    </row>
    <row r="82" ht="15.75" customHeight="1">
      <c r="A82" s="43"/>
      <c r="D82" s="43"/>
      <c r="E82" s="43"/>
    </row>
    <row r="83" ht="15.75" customHeight="1">
      <c r="A83" s="43"/>
      <c r="D83" s="43"/>
      <c r="E83" s="43"/>
    </row>
    <row r="84" ht="15.75" customHeight="1">
      <c r="A84" s="43"/>
      <c r="D84" s="43"/>
      <c r="E84" s="43"/>
    </row>
    <row r="85" ht="15.75" customHeight="1">
      <c r="A85" s="43"/>
      <c r="D85" s="43"/>
      <c r="E85" s="43"/>
    </row>
    <row r="86" ht="15.75" customHeight="1">
      <c r="A86" s="43"/>
      <c r="D86" s="43"/>
      <c r="E86" s="43"/>
    </row>
    <row r="87" ht="15.75" customHeight="1">
      <c r="A87" s="43"/>
      <c r="D87" s="43"/>
      <c r="E87" s="43"/>
    </row>
    <row r="88" ht="15.75" customHeight="1">
      <c r="A88" s="43"/>
      <c r="D88" s="43"/>
      <c r="E88" s="43"/>
    </row>
    <row r="89" ht="15.75" customHeight="1">
      <c r="A89" s="43"/>
      <c r="D89" s="43"/>
      <c r="E89" s="43"/>
    </row>
    <row r="90" ht="15.75" customHeight="1">
      <c r="A90" s="43"/>
      <c r="D90" s="43"/>
      <c r="E90" s="43"/>
    </row>
    <row r="91" ht="15.75" customHeight="1">
      <c r="A91" s="43"/>
      <c r="D91" s="43"/>
      <c r="E91" s="43"/>
    </row>
    <row r="92" ht="15.75" customHeight="1">
      <c r="A92" s="43"/>
      <c r="D92" s="43"/>
      <c r="E92" s="43"/>
    </row>
    <row r="93" ht="15.75" customHeight="1">
      <c r="A93" s="43"/>
      <c r="D93" s="43"/>
      <c r="E93" s="43"/>
    </row>
    <row r="94" ht="15.75" customHeight="1">
      <c r="A94" s="43"/>
      <c r="D94" s="43"/>
      <c r="E94" s="43"/>
    </row>
    <row r="95" ht="15.75" customHeight="1">
      <c r="A95" s="43"/>
      <c r="D95" s="43"/>
      <c r="E95" s="43"/>
    </row>
    <row r="96" ht="15.75" customHeight="1">
      <c r="A96" s="43"/>
      <c r="D96" s="43"/>
      <c r="E96" s="43"/>
    </row>
    <row r="97" ht="15.75" customHeight="1">
      <c r="A97" s="43"/>
      <c r="D97" s="43"/>
      <c r="E97" s="43"/>
    </row>
    <row r="98" ht="15.75" customHeight="1">
      <c r="A98" s="43"/>
      <c r="D98" s="43"/>
      <c r="E98" s="43"/>
    </row>
    <row r="99" ht="15.75" customHeight="1">
      <c r="A99" s="43"/>
      <c r="D99" s="43"/>
      <c r="E99" s="43"/>
    </row>
    <row r="100" ht="15.75" customHeight="1">
      <c r="A100" s="43"/>
      <c r="D100" s="43"/>
      <c r="E100" s="43"/>
    </row>
    <row r="101" ht="15.75" customHeight="1">
      <c r="A101" s="43"/>
      <c r="D101" s="43"/>
      <c r="E101" s="43"/>
    </row>
    <row r="102" ht="15.75" customHeight="1">
      <c r="A102" s="43"/>
      <c r="D102" s="43"/>
      <c r="E102" s="43"/>
    </row>
    <row r="103" ht="15.75" customHeight="1">
      <c r="A103" s="43"/>
      <c r="D103" s="43"/>
      <c r="E103" s="43"/>
    </row>
    <row r="104" ht="15.75" customHeight="1">
      <c r="A104" s="43"/>
      <c r="D104" s="43"/>
      <c r="E104" s="43"/>
    </row>
    <row r="105" ht="15.75" customHeight="1">
      <c r="A105" s="43"/>
      <c r="D105" s="43"/>
      <c r="E105" s="43"/>
    </row>
    <row r="106" ht="15.75" customHeight="1">
      <c r="A106" s="43"/>
      <c r="D106" s="43"/>
      <c r="E106" s="43"/>
    </row>
    <row r="107" ht="15.75" customHeight="1">
      <c r="A107" s="43"/>
      <c r="D107" s="43"/>
      <c r="E107" s="43"/>
    </row>
    <row r="108" ht="15.75" customHeight="1">
      <c r="A108" s="43"/>
      <c r="D108" s="43"/>
      <c r="E108" s="43"/>
    </row>
    <row r="109" ht="15.75" customHeight="1">
      <c r="A109" s="43"/>
      <c r="D109" s="43"/>
      <c r="E109" s="43"/>
    </row>
    <row r="110" ht="15.75" customHeight="1">
      <c r="A110" s="43"/>
      <c r="D110" s="43"/>
      <c r="E110" s="43"/>
    </row>
    <row r="111" ht="15.75" customHeight="1">
      <c r="A111" s="43"/>
      <c r="D111" s="43"/>
      <c r="E111" s="43"/>
    </row>
    <row r="112" ht="15.75" customHeight="1">
      <c r="A112" s="43"/>
      <c r="D112" s="43"/>
      <c r="E112" s="43"/>
    </row>
    <row r="113" ht="15.75" customHeight="1">
      <c r="A113" s="43"/>
      <c r="D113" s="43"/>
      <c r="E113" s="43"/>
    </row>
    <row r="114" ht="15.75" customHeight="1">
      <c r="A114" s="43"/>
      <c r="D114" s="43"/>
      <c r="E114" s="43"/>
    </row>
    <row r="115" ht="15.75" customHeight="1">
      <c r="A115" s="43"/>
      <c r="D115" s="43"/>
      <c r="E115" s="43"/>
    </row>
    <row r="116" ht="15.75" customHeight="1">
      <c r="A116" s="43"/>
      <c r="D116" s="43"/>
      <c r="E116" s="43"/>
    </row>
    <row r="117" ht="15.75" customHeight="1">
      <c r="A117" s="43"/>
      <c r="D117" s="43"/>
      <c r="E117" s="43"/>
    </row>
    <row r="118" ht="15.75" customHeight="1">
      <c r="A118" s="43"/>
      <c r="D118" s="43"/>
      <c r="E118" s="43"/>
    </row>
    <row r="119" ht="15.75" customHeight="1">
      <c r="A119" s="43"/>
      <c r="D119" s="43"/>
      <c r="E119" s="43"/>
    </row>
    <row r="120" ht="15.75" customHeight="1">
      <c r="A120" s="43"/>
      <c r="D120" s="43"/>
      <c r="E120" s="43"/>
    </row>
    <row r="121" ht="15.75" customHeight="1">
      <c r="A121" s="43"/>
      <c r="D121" s="43"/>
      <c r="E121" s="43"/>
    </row>
    <row r="122" ht="15.75" customHeight="1">
      <c r="A122" s="43"/>
      <c r="D122" s="43"/>
      <c r="E122" s="43"/>
    </row>
    <row r="123" ht="15.75" customHeight="1">
      <c r="A123" s="43"/>
      <c r="D123" s="43"/>
      <c r="E123" s="43"/>
    </row>
    <row r="124" ht="15.75" customHeight="1">
      <c r="A124" s="43"/>
      <c r="D124" s="43"/>
      <c r="E124" s="43"/>
    </row>
    <row r="125" ht="15.75" customHeight="1">
      <c r="A125" s="43"/>
      <c r="D125" s="43"/>
      <c r="E125" s="43"/>
    </row>
    <row r="126" ht="15.75" customHeight="1">
      <c r="A126" s="43"/>
      <c r="D126" s="43"/>
      <c r="E126" s="43"/>
    </row>
    <row r="127" ht="15.75" customHeight="1">
      <c r="A127" s="43"/>
      <c r="D127" s="43"/>
      <c r="E127" s="43"/>
    </row>
    <row r="128" ht="15.75" customHeight="1">
      <c r="A128" s="43"/>
      <c r="D128" s="43"/>
      <c r="E128" s="43"/>
    </row>
    <row r="129" ht="15.75" customHeight="1">
      <c r="A129" s="43"/>
      <c r="D129" s="43"/>
      <c r="E129" s="43"/>
    </row>
    <row r="130" ht="15.75" customHeight="1">
      <c r="A130" s="43"/>
      <c r="D130" s="43"/>
      <c r="E130" s="43"/>
    </row>
    <row r="131" ht="15.75" customHeight="1">
      <c r="A131" s="43"/>
      <c r="D131" s="43"/>
      <c r="E131" s="43"/>
    </row>
    <row r="132" ht="15.75" customHeight="1">
      <c r="A132" s="43"/>
      <c r="D132" s="43"/>
      <c r="E132" s="43"/>
    </row>
    <row r="133" ht="15.75" customHeight="1">
      <c r="A133" s="43"/>
      <c r="D133" s="43"/>
      <c r="E133" s="43"/>
    </row>
    <row r="134" ht="15.75" customHeight="1">
      <c r="A134" s="43"/>
      <c r="D134" s="43"/>
      <c r="E134" s="43"/>
    </row>
    <row r="135" ht="15.75" customHeight="1">
      <c r="A135" s="43"/>
      <c r="D135" s="43"/>
      <c r="E135" s="43"/>
    </row>
    <row r="136" ht="15.75" customHeight="1">
      <c r="A136" s="43"/>
      <c r="D136" s="43"/>
      <c r="E136" s="43"/>
    </row>
    <row r="137" ht="15.75" customHeight="1">
      <c r="A137" s="43"/>
      <c r="D137" s="43"/>
      <c r="E137" s="43"/>
    </row>
    <row r="138" ht="15.75" customHeight="1">
      <c r="A138" s="43"/>
      <c r="D138" s="43"/>
      <c r="E138" s="43"/>
    </row>
    <row r="139" ht="15.75" customHeight="1">
      <c r="A139" s="43"/>
      <c r="D139" s="43"/>
      <c r="E139" s="43"/>
    </row>
    <row r="140" ht="15.75" customHeight="1">
      <c r="A140" s="43"/>
      <c r="D140" s="43"/>
      <c r="E140" s="43"/>
    </row>
    <row r="141" ht="15.75" customHeight="1">
      <c r="A141" s="43"/>
      <c r="D141" s="43"/>
      <c r="E141" s="43"/>
    </row>
    <row r="142" ht="15.75" customHeight="1">
      <c r="A142" s="43"/>
      <c r="D142" s="43"/>
      <c r="E142" s="43"/>
    </row>
    <row r="143" ht="15.75" customHeight="1">
      <c r="A143" s="43"/>
      <c r="D143" s="43"/>
      <c r="E143" s="43"/>
    </row>
    <row r="144" ht="15.75" customHeight="1">
      <c r="A144" s="43"/>
      <c r="D144" s="43"/>
      <c r="E144" s="43"/>
    </row>
    <row r="145" ht="15.75" customHeight="1">
      <c r="A145" s="43"/>
      <c r="D145" s="43"/>
      <c r="E145" s="43"/>
    </row>
    <row r="146" ht="15.75" customHeight="1">
      <c r="A146" s="43"/>
      <c r="D146" s="43"/>
      <c r="E146" s="43"/>
    </row>
    <row r="147" ht="15.75" customHeight="1">
      <c r="A147" s="43"/>
      <c r="D147" s="43"/>
      <c r="E147" s="43"/>
    </row>
    <row r="148" ht="15.75" customHeight="1">
      <c r="A148" s="43"/>
      <c r="D148" s="43"/>
      <c r="E148" s="43"/>
    </row>
    <row r="149" ht="15.75" customHeight="1">
      <c r="A149" s="43"/>
      <c r="D149" s="43"/>
      <c r="E149" s="43"/>
    </row>
    <row r="150" ht="15.75" customHeight="1">
      <c r="A150" s="43"/>
      <c r="D150" s="43"/>
      <c r="E150" s="43"/>
    </row>
    <row r="151" ht="15.75" customHeight="1">
      <c r="A151" s="43"/>
      <c r="D151" s="43"/>
      <c r="E151" s="43"/>
    </row>
    <row r="152" ht="15.75" customHeight="1">
      <c r="A152" s="43"/>
      <c r="D152" s="43"/>
      <c r="E152" s="43"/>
    </row>
    <row r="153" ht="15.75" customHeight="1">
      <c r="A153" s="43"/>
      <c r="D153" s="43"/>
      <c r="E153" s="43"/>
    </row>
    <row r="154" ht="15.75" customHeight="1">
      <c r="A154" s="43"/>
      <c r="D154" s="43"/>
      <c r="E154" s="43"/>
    </row>
    <row r="155" ht="15.75" customHeight="1">
      <c r="A155" s="43"/>
      <c r="D155" s="43"/>
      <c r="E155" s="43"/>
    </row>
    <row r="156" ht="15.75" customHeight="1">
      <c r="A156" s="43"/>
      <c r="D156" s="43"/>
      <c r="E156" s="43"/>
    </row>
    <row r="157" ht="15.75" customHeight="1">
      <c r="A157" s="43"/>
      <c r="D157" s="43"/>
      <c r="E157" s="43"/>
    </row>
    <row r="158" ht="15.75" customHeight="1">
      <c r="A158" s="43"/>
      <c r="D158" s="43"/>
      <c r="E158" s="43"/>
    </row>
    <row r="159" ht="15.75" customHeight="1">
      <c r="A159" s="43"/>
      <c r="D159" s="43"/>
      <c r="E159" s="43"/>
    </row>
    <row r="160" ht="15.75" customHeight="1">
      <c r="A160" s="43"/>
      <c r="D160" s="43"/>
      <c r="E160" s="43"/>
    </row>
    <row r="161" ht="15.75" customHeight="1">
      <c r="A161" s="43"/>
      <c r="D161" s="43"/>
      <c r="E161" s="43"/>
    </row>
    <row r="162" ht="15.75" customHeight="1">
      <c r="A162" s="43"/>
      <c r="D162" s="43"/>
      <c r="E162" s="43"/>
    </row>
    <row r="163" ht="15.75" customHeight="1">
      <c r="A163" s="43"/>
      <c r="D163" s="43"/>
      <c r="E163" s="43"/>
    </row>
    <row r="164" ht="15.75" customHeight="1">
      <c r="A164" s="43"/>
      <c r="D164" s="43"/>
      <c r="E164" s="43"/>
    </row>
    <row r="165" ht="15.75" customHeight="1">
      <c r="A165" s="43"/>
      <c r="D165" s="43"/>
      <c r="E165" s="43"/>
    </row>
    <row r="166" ht="15.75" customHeight="1">
      <c r="A166" s="43"/>
      <c r="D166" s="43"/>
      <c r="E166" s="43"/>
    </row>
    <row r="167" ht="15.75" customHeight="1">
      <c r="A167" s="43"/>
      <c r="D167" s="43"/>
      <c r="E167" s="43"/>
    </row>
    <row r="168" ht="15.75" customHeight="1">
      <c r="A168" s="43"/>
      <c r="D168" s="43"/>
      <c r="E168" s="43"/>
    </row>
    <row r="169" ht="15.75" customHeight="1">
      <c r="A169" s="43"/>
      <c r="D169" s="43"/>
      <c r="E169" s="43"/>
    </row>
    <row r="170" ht="15.75" customHeight="1">
      <c r="A170" s="43"/>
      <c r="D170" s="43"/>
      <c r="E170" s="43"/>
    </row>
    <row r="171" ht="15.75" customHeight="1">
      <c r="A171" s="43"/>
      <c r="D171" s="43"/>
      <c r="E171" s="43"/>
    </row>
    <row r="172" ht="15.75" customHeight="1">
      <c r="A172" s="43"/>
      <c r="D172" s="43"/>
      <c r="E172" s="43"/>
    </row>
    <row r="173" ht="15.75" customHeight="1">
      <c r="A173" s="43"/>
      <c r="D173" s="43"/>
      <c r="E173" s="43"/>
    </row>
    <row r="174" ht="15.75" customHeight="1">
      <c r="A174" s="43"/>
      <c r="D174" s="43"/>
      <c r="E174" s="43"/>
    </row>
    <row r="175" ht="15.75" customHeight="1">
      <c r="A175" s="43"/>
      <c r="D175" s="43"/>
      <c r="E175" s="43"/>
    </row>
    <row r="176" ht="15.75" customHeight="1">
      <c r="A176" s="43"/>
      <c r="D176" s="43"/>
      <c r="E176" s="43"/>
    </row>
    <row r="177" ht="15.75" customHeight="1">
      <c r="A177" s="43"/>
      <c r="D177" s="43"/>
      <c r="E177" s="43"/>
    </row>
    <row r="178" ht="15.75" customHeight="1">
      <c r="A178" s="43"/>
      <c r="D178" s="43"/>
      <c r="E178" s="43"/>
    </row>
    <row r="179" ht="15.75" customHeight="1">
      <c r="A179" s="43"/>
      <c r="D179" s="43"/>
      <c r="E179" s="43"/>
    </row>
    <row r="180" ht="15.75" customHeight="1">
      <c r="A180" s="43"/>
      <c r="D180" s="43"/>
      <c r="E180" s="43"/>
    </row>
    <row r="181" ht="15.75" customHeight="1">
      <c r="A181" s="43"/>
      <c r="D181" s="43"/>
      <c r="E181" s="43"/>
    </row>
    <row r="182" ht="15.75" customHeight="1">
      <c r="A182" s="43"/>
      <c r="D182" s="43"/>
      <c r="E182" s="43"/>
    </row>
    <row r="183" ht="15.75" customHeight="1">
      <c r="A183" s="43"/>
      <c r="D183" s="43"/>
      <c r="E183" s="43"/>
    </row>
    <row r="184" ht="15.75" customHeight="1">
      <c r="A184" s="43"/>
      <c r="D184" s="43"/>
      <c r="E184" s="43"/>
    </row>
    <row r="185" ht="15.75" customHeight="1">
      <c r="A185" s="43"/>
      <c r="D185" s="43"/>
      <c r="E185" s="43"/>
    </row>
    <row r="186" ht="15.75" customHeight="1">
      <c r="A186" s="43"/>
      <c r="D186" s="43"/>
      <c r="E186" s="43"/>
    </row>
    <row r="187" ht="15.75" customHeight="1">
      <c r="A187" s="43"/>
      <c r="D187" s="43"/>
      <c r="E187" s="43"/>
    </row>
    <row r="188" ht="15.75" customHeight="1">
      <c r="A188" s="43"/>
      <c r="D188" s="43"/>
      <c r="E188" s="43"/>
    </row>
    <row r="189" ht="15.75" customHeight="1">
      <c r="A189" s="43"/>
      <c r="D189" s="43"/>
      <c r="E189" s="43"/>
    </row>
    <row r="190" ht="15.75" customHeight="1">
      <c r="A190" s="43"/>
      <c r="D190" s="43"/>
      <c r="E190" s="43"/>
    </row>
    <row r="191" ht="15.75" customHeight="1">
      <c r="A191" s="43"/>
      <c r="D191" s="43"/>
      <c r="E191" s="43"/>
    </row>
    <row r="192" ht="15.75" customHeight="1">
      <c r="A192" s="43"/>
      <c r="D192" s="43"/>
      <c r="E192" s="43"/>
    </row>
    <row r="193" ht="15.75" customHeight="1">
      <c r="A193" s="43"/>
      <c r="D193" s="43"/>
      <c r="E193" s="43"/>
    </row>
    <row r="194" ht="15.75" customHeight="1">
      <c r="A194" s="43"/>
      <c r="D194" s="43"/>
      <c r="E194" s="43"/>
    </row>
    <row r="195" ht="15.75" customHeight="1">
      <c r="A195" s="43"/>
      <c r="D195" s="43"/>
      <c r="E195" s="43"/>
    </row>
    <row r="196" ht="15.75" customHeight="1">
      <c r="A196" s="43"/>
      <c r="D196" s="43"/>
      <c r="E196" s="43"/>
    </row>
    <row r="197" ht="15.75" customHeight="1">
      <c r="A197" s="43"/>
      <c r="D197" s="43"/>
      <c r="E197" s="43"/>
    </row>
    <row r="198" ht="15.75" customHeight="1">
      <c r="A198" s="43"/>
      <c r="D198" s="43"/>
      <c r="E198" s="43"/>
    </row>
    <row r="199" ht="15.75" customHeight="1">
      <c r="A199" s="43"/>
      <c r="D199" s="43"/>
      <c r="E199" s="43"/>
    </row>
    <row r="200" ht="15.75" customHeight="1">
      <c r="A200" s="43"/>
      <c r="D200" s="43"/>
      <c r="E200" s="43"/>
    </row>
    <row r="201" ht="15.75" customHeight="1">
      <c r="A201" s="43"/>
      <c r="D201" s="43"/>
      <c r="E201" s="43"/>
    </row>
    <row r="202" ht="15.75" customHeight="1">
      <c r="A202" s="43"/>
      <c r="D202" s="43"/>
      <c r="E202" s="43"/>
    </row>
    <row r="203" ht="15.75" customHeight="1">
      <c r="A203" s="43"/>
      <c r="D203" s="43"/>
      <c r="E203" s="43"/>
    </row>
    <row r="204" ht="15.75" customHeight="1">
      <c r="A204" s="43"/>
      <c r="D204" s="43"/>
      <c r="E204" s="43"/>
    </row>
    <row r="205" ht="15.75" customHeight="1">
      <c r="A205" s="43"/>
      <c r="D205" s="43"/>
      <c r="E205" s="43"/>
    </row>
    <row r="206" ht="15.75" customHeight="1">
      <c r="A206" s="43"/>
      <c r="D206" s="43"/>
      <c r="E206" s="43"/>
    </row>
    <row r="207" ht="15.75" customHeight="1">
      <c r="A207" s="43"/>
      <c r="D207" s="43"/>
      <c r="E207" s="43"/>
    </row>
    <row r="208" ht="15.75" customHeight="1">
      <c r="A208" s="43"/>
      <c r="D208" s="43"/>
      <c r="E208" s="43"/>
    </row>
    <row r="209" ht="15.75" customHeight="1">
      <c r="A209" s="43"/>
      <c r="D209" s="43"/>
      <c r="E209" s="43"/>
    </row>
    <row r="210" ht="15.75" customHeight="1">
      <c r="A210" s="43"/>
      <c r="D210" s="43"/>
      <c r="E210" s="43"/>
    </row>
    <row r="211" ht="15.75" customHeight="1">
      <c r="A211" s="43"/>
      <c r="D211" s="43"/>
      <c r="E211" s="43"/>
    </row>
    <row r="212" ht="15.75" customHeight="1">
      <c r="A212" s="43"/>
      <c r="D212" s="43"/>
      <c r="E212" s="43"/>
    </row>
    <row r="213" ht="15.75" customHeight="1">
      <c r="A213" s="43"/>
      <c r="D213" s="43"/>
      <c r="E213" s="43"/>
    </row>
    <row r="214" ht="15.75" customHeight="1">
      <c r="A214" s="43"/>
      <c r="D214" s="43"/>
      <c r="E214" s="43"/>
    </row>
    <row r="215" ht="15.75" customHeight="1">
      <c r="A215" s="43"/>
      <c r="D215" s="43"/>
      <c r="E215" s="43"/>
    </row>
    <row r="216" ht="15.75" customHeight="1">
      <c r="A216" s="43"/>
      <c r="D216" s="43"/>
      <c r="E216" s="43"/>
    </row>
    <row r="217" ht="15.75" customHeight="1">
      <c r="A217" s="43"/>
      <c r="D217" s="43"/>
      <c r="E217" s="43"/>
    </row>
    <row r="218" ht="15.75" customHeight="1">
      <c r="A218" s="43"/>
      <c r="D218" s="43"/>
      <c r="E218" s="43"/>
    </row>
    <row r="219" ht="15.75" customHeight="1">
      <c r="A219" s="43"/>
      <c r="D219" s="43"/>
      <c r="E219" s="43"/>
    </row>
    <row r="220" ht="15.75" customHeight="1">
      <c r="A220" s="43"/>
      <c r="D220" s="43"/>
      <c r="E220" s="43"/>
    </row>
    <row r="221" ht="15.75" customHeight="1">
      <c r="A221" s="43"/>
      <c r="D221" s="43"/>
      <c r="E221" s="43"/>
    </row>
    <row r="222" ht="15.75" customHeight="1">
      <c r="A222" s="43"/>
      <c r="D222" s="43"/>
      <c r="E222" s="43"/>
    </row>
    <row r="223" ht="15.75" customHeight="1">
      <c r="A223" s="43"/>
      <c r="D223" s="43"/>
      <c r="E223" s="43"/>
    </row>
    <row r="224" ht="15.75" customHeight="1">
      <c r="A224" s="43"/>
      <c r="D224" s="43"/>
      <c r="E224" s="43"/>
    </row>
    <row r="225" ht="15.75" customHeight="1">
      <c r="A225" s="43"/>
      <c r="D225" s="43"/>
      <c r="E225" s="43"/>
    </row>
    <row r="226" ht="15.75" customHeight="1">
      <c r="A226" s="43"/>
      <c r="D226" s="43"/>
      <c r="E226" s="43"/>
    </row>
    <row r="227" ht="15.75" customHeight="1">
      <c r="A227" s="43"/>
      <c r="D227" s="43"/>
      <c r="E227" s="43"/>
    </row>
    <row r="228" ht="15.75" customHeight="1">
      <c r="A228" s="43"/>
      <c r="D228" s="43"/>
      <c r="E228" s="43"/>
    </row>
    <row r="229" ht="15.75" customHeight="1">
      <c r="A229" s="43"/>
      <c r="D229" s="43"/>
      <c r="E229" s="43"/>
    </row>
    <row r="230" ht="15.75" customHeight="1">
      <c r="A230" s="43"/>
      <c r="D230" s="43"/>
      <c r="E230" s="43"/>
    </row>
    <row r="231" ht="15.75" customHeight="1">
      <c r="A231" s="43"/>
      <c r="D231" s="43"/>
      <c r="E231" s="43"/>
    </row>
    <row r="232" ht="15.75" customHeight="1">
      <c r="A232" s="43"/>
      <c r="D232" s="43"/>
      <c r="E232" s="43"/>
    </row>
    <row r="233" ht="15.75" customHeight="1">
      <c r="A233" s="43"/>
      <c r="D233" s="43"/>
      <c r="E233" s="43"/>
    </row>
    <row r="234" ht="15.75" customHeight="1">
      <c r="A234" s="65"/>
      <c r="D234" s="65"/>
      <c r="E234" s="65"/>
    </row>
    <row r="235" ht="15.75" customHeight="1">
      <c r="A235" s="65"/>
      <c r="D235" s="65"/>
      <c r="E235" s="65"/>
    </row>
    <row r="236" ht="15.75" customHeight="1">
      <c r="A236" s="65"/>
      <c r="D236" s="65"/>
      <c r="E236" s="65"/>
    </row>
    <row r="237" ht="15.75" customHeight="1">
      <c r="A237" s="65"/>
      <c r="D237" s="65"/>
      <c r="E237" s="65"/>
    </row>
    <row r="238" ht="15.75" customHeight="1">
      <c r="A238" s="65"/>
      <c r="D238" s="65"/>
      <c r="E238" s="65"/>
    </row>
    <row r="239" ht="15.75" customHeight="1">
      <c r="A239" s="65"/>
      <c r="D239" s="65"/>
      <c r="E239" s="65"/>
    </row>
    <row r="240" ht="15.75" customHeight="1">
      <c r="A240" s="65"/>
      <c r="D240" s="65"/>
      <c r="E240" s="65"/>
    </row>
    <row r="241" ht="15.75" customHeight="1">
      <c r="A241" s="65"/>
      <c r="D241" s="65"/>
      <c r="E241" s="65"/>
    </row>
    <row r="242" ht="15.75" customHeight="1">
      <c r="A242" s="65"/>
      <c r="D242" s="65"/>
      <c r="E242" s="65"/>
    </row>
    <row r="243" ht="15.75" customHeight="1">
      <c r="A243" s="65"/>
      <c r="D243" s="65"/>
      <c r="E243" s="65"/>
    </row>
    <row r="244" ht="15.75" customHeight="1">
      <c r="A244" s="65"/>
      <c r="D244" s="65"/>
      <c r="E244" s="65"/>
    </row>
    <row r="245" ht="15.75" customHeight="1">
      <c r="A245" s="65"/>
      <c r="D245" s="65"/>
      <c r="E245" s="65"/>
    </row>
    <row r="246" ht="15.75" customHeight="1">
      <c r="A246" s="65"/>
      <c r="D246" s="65"/>
      <c r="E246" s="65"/>
    </row>
    <row r="247" ht="15.75" customHeight="1">
      <c r="A247" s="65"/>
      <c r="D247" s="65"/>
      <c r="E247" s="65"/>
    </row>
    <row r="248" ht="15.75" customHeight="1">
      <c r="A248" s="65"/>
      <c r="D248" s="65"/>
      <c r="E248" s="65"/>
    </row>
    <row r="249" ht="15.75" customHeight="1">
      <c r="A249" s="65"/>
      <c r="D249" s="65"/>
      <c r="E249" s="65"/>
    </row>
    <row r="250" ht="15.75" customHeight="1">
      <c r="A250" s="65"/>
      <c r="D250" s="65"/>
      <c r="E250" s="65"/>
    </row>
    <row r="251" ht="15.75" customHeight="1">
      <c r="A251" s="65"/>
      <c r="D251" s="65"/>
      <c r="E251" s="65"/>
    </row>
    <row r="252" ht="15.75" customHeight="1">
      <c r="A252" s="65"/>
      <c r="D252" s="65"/>
      <c r="E252" s="65"/>
    </row>
    <row r="253" ht="15.75" customHeight="1">
      <c r="A253" s="65"/>
      <c r="D253" s="65"/>
      <c r="E253" s="65"/>
    </row>
    <row r="254" ht="15.75" customHeight="1">
      <c r="A254" s="65"/>
      <c r="D254" s="65"/>
      <c r="E254" s="65"/>
    </row>
    <row r="255" ht="15.75" customHeight="1">
      <c r="A255" s="65"/>
      <c r="D255" s="65"/>
      <c r="E255" s="65"/>
    </row>
    <row r="256" ht="15.75" customHeight="1">
      <c r="A256" s="65"/>
      <c r="D256" s="65"/>
      <c r="E256" s="65"/>
    </row>
    <row r="257" ht="15.75" customHeight="1">
      <c r="A257" s="65"/>
      <c r="D257" s="65"/>
      <c r="E257" s="65"/>
    </row>
    <row r="258" ht="15.75" customHeight="1">
      <c r="A258" s="65"/>
      <c r="D258" s="65"/>
      <c r="E258" s="65"/>
    </row>
    <row r="259" ht="15.75" customHeight="1">
      <c r="A259" s="65"/>
      <c r="D259" s="65"/>
      <c r="E259" s="65"/>
    </row>
    <row r="260" ht="15.75" customHeight="1">
      <c r="A260" s="65"/>
      <c r="D260" s="65"/>
      <c r="E260" s="65"/>
    </row>
    <row r="261" ht="15.75" customHeight="1">
      <c r="A261" s="65"/>
      <c r="D261" s="65"/>
      <c r="E261" s="65"/>
    </row>
    <row r="262" ht="15.75" customHeight="1">
      <c r="A262" s="65"/>
      <c r="D262" s="65"/>
      <c r="E262" s="65"/>
    </row>
    <row r="263" ht="15.75" customHeight="1">
      <c r="A263" s="65"/>
      <c r="D263" s="65"/>
      <c r="E263" s="65"/>
    </row>
    <row r="264" ht="15.75" customHeight="1">
      <c r="A264" s="65"/>
      <c r="D264" s="65"/>
      <c r="E264" s="65"/>
    </row>
    <row r="265" ht="15.75" customHeight="1">
      <c r="A265" s="65"/>
      <c r="D265" s="65"/>
      <c r="E265" s="65"/>
    </row>
    <row r="266" ht="15.75" customHeight="1">
      <c r="A266" s="65"/>
      <c r="D266" s="65"/>
      <c r="E266" s="65"/>
    </row>
    <row r="267" ht="15.75" customHeight="1">
      <c r="A267" s="65"/>
      <c r="D267" s="65"/>
      <c r="E267" s="65"/>
    </row>
    <row r="268" ht="15.75" customHeight="1">
      <c r="A268" s="65"/>
      <c r="D268" s="65"/>
      <c r="E268" s="65"/>
    </row>
    <row r="269" ht="15.75" customHeight="1">
      <c r="A269" s="65"/>
      <c r="D269" s="65"/>
      <c r="E269" s="65"/>
    </row>
    <row r="270" ht="15.75" customHeight="1">
      <c r="A270" s="65"/>
      <c r="D270" s="65"/>
      <c r="E270" s="65"/>
    </row>
    <row r="271" ht="15.75" customHeight="1">
      <c r="A271" s="65"/>
      <c r="D271" s="65"/>
      <c r="E271" s="65"/>
    </row>
    <row r="272" ht="15.75" customHeight="1">
      <c r="A272" s="65"/>
      <c r="D272" s="65"/>
      <c r="E272" s="65"/>
    </row>
    <row r="273" ht="15.75" customHeight="1">
      <c r="A273" s="65"/>
      <c r="D273" s="65"/>
      <c r="E273" s="65"/>
    </row>
    <row r="274" ht="15.75" customHeight="1">
      <c r="A274" s="65"/>
      <c r="D274" s="65"/>
      <c r="E274" s="65"/>
    </row>
    <row r="275" ht="15.75" customHeight="1">
      <c r="A275" s="65"/>
      <c r="D275" s="65"/>
      <c r="E275" s="65"/>
    </row>
    <row r="276" ht="15.75" customHeight="1">
      <c r="A276" s="65"/>
      <c r="D276" s="65"/>
      <c r="E276" s="65"/>
    </row>
    <row r="277" ht="15.75" customHeight="1">
      <c r="A277" s="65"/>
      <c r="D277" s="65"/>
      <c r="E277" s="65"/>
    </row>
    <row r="278" ht="15.75" customHeight="1">
      <c r="A278" s="65"/>
      <c r="D278" s="65"/>
      <c r="E278" s="65"/>
    </row>
    <row r="279" ht="15.75" customHeight="1">
      <c r="A279" s="65"/>
      <c r="D279" s="65"/>
      <c r="E279" s="65"/>
    </row>
    <row r="280" ht="15.75" customHeight="1">
      <c r="A280" s="65"/>
      <c r="D280" s="65"/>
      <c r="E280" s="65"/>
    </row>
    <row r="281" ht="15.75" customHeight="1">
      <c r="A281" s="65"/>
      <c r="D281" s="65"/>
      <c r="E281" s="65"/>
    </row>
    <row r="282" ht="15.75" customHeight="1">
      <c r="A282" s="65"/>
      <c r="D282" s="65"/>
      <c r="E282" s="65"/>
    </row>
    <row r="283" ht="15.75" customHeight="1">
      <c r="A283" s="65"/>
      <c r="D283" s="65"/>
      <c r="E283" s="65"/>
    </row>
    <row r="284" ht="15.75" customHeight="1">
      <c r="A284" s="65"/>
      <c r="D284" s="65"/>
      <c r="E284" s="65"/>
    </row>
    <row r="285" ht="15.75" customHeight="1">
      <c r="A285" s="65"/>
      <c r="D285" s="65"/>
      <c r="E285" s="65"/>
    </row>
    <row r="286" ht="15.75" customHeight="1">
      <c r="A286" s="65"/>
      <c r="D286" s="65"/>
      <c r="E286" s="65"/>
    </row>
    <row r="287" ht="15.75" customHeight="1">
      <c r="A287" s="65"/>
      <c r="D287" s="65"/>
      <c r="E287" s="65"/>
    </row>
    <row r="288" ht="15.75" customHeight="1">
      <c r="A288" s="65"/>
      <c r="D288" s="65"/>
      <c r="E288" s="65"/>
    </row>
    <row r="289" ht="15.75" customHeight="1">
      <c r="A289" s="65"/>
      <c r="D289" s="65"/>
      <c r="E289" s="65"/>
    </row>
    <row r="290" ht="15.75" customHeight="1">
      <c r="A290" s="65"/>
      <c r="D290" s="65"/>
      <c r="E290" s="65"/>
    </row>
    <row r="291" ht="15.75" customHeight="1">
      <c r="A291" s="65"/>
      <c r="D291" s="65"/>
      <c r="E291" s="65"/>
    </row>
    <row r="292" ht="15.75" customHeight="1">
      <c r="A292" s="65"/>
      <c r="D292" s="65"/>
      <c r="E292" s="65"/>
    </row>
    <row r="293" ht="15.75" customHeight="1">
      <c r="A293" s="65"/>
      <c r="D293" s="65"/>
      <c r="E293" s="65"/>
    </row>
    <row r="294" ht="15.75" customHeight="1">
      <c r="A294" s="65"/>
      <c r="D294" s="65"/>
      <c r="E294" s="65"/>
    </row>
    <row r="295" ht="15.75" customHeight="1">
      <c r="A295" s="65"/>
      <c r="D295" s="65"/>
      <c r="E295" s="65"/>
    </row>
    <row r="296" ht="15.75" customHeight="1">
      <c r="A296" s="65"/>
      <c r="D296" s="65"/>
      <c r="E296" s="65"/>
    </row>
    <row r="297" ht="15.75" customHeight="1">
      <c r="A297" s="65"/>
      <c r="D297" s="65"/>
      <c r="E297" s="65"/>
    </row>
    <row r="298" ht="15.75" customHeight="1">
      <c r="A298" s="65"/>
      <c r="D298" s="65"/>
      <c r="E298" s="65"/>
    </row>
    <row r="299" ht="15.75" customHeight="1">
      <c r="A299" s="65"/>
      <c r="D299" s="65"/>
      <c r="E299" s="65"/>
    </row>
    <row r="300" ht="15.75" customHeight="1">
      <c r="A300" s="65"/>
      <c r="D300" s="65"/>
      <c r="E300" s="65"/>
    </row>
    <row r="301" ht="15.75" customHeight="1">
      <c r="A301" s="65"/>
      <c r="D301" s="65"/>
      <c r="E301" s="65"/>
    </row>
    <row r="302" ht="15.75" customHeight="1">
      <c r="A302" s="65"/>
      <c r="D302" s="65"/>
      <c r="E302" s="65"/>
    </row>
    <row r="303" ht="15.75" customHeight="1">
      <c r="A303" s="65"/>
      <c r="D303" s="65"/>
      <c r="E303" s="65"/>
    </row>
    <row r="304" ht="15.75" customHeight="1">
      <c r="A304" s="65"/>
      <c r="D304" s="65"/>
      <c r="E304" s="65"/>
    </row>
    <row r="305" ht="15.75" customHeight="1">
      <c r="A305" s="65"/>
      <c r="D305" s="65"/>
      <c r="E305" s="65"/>
    </row>
    <row r="306" ht="15.75" customHeight="1">
      <c r="A306" s="65"/>
      <c r="D306" s="65"/>
      <c r="E306" s="65"/>
    </row>
    <row r="307" ht="15.75" customHeight="1">
      <c r="A307" s="65"/>
      <c r="D307" s="65"/>
      <c r="E307" s="65"/>
    </row>
    <row r="308" ht="15.75" customHeight="1">
      <c r="A308" s="65"/>
      <c r="D308" s="65"/>
      <c r="E308" s="65"/>
    </row>
    <row r="309" ht="15.75" customHeight="1">
      <c r="A309" s="65"/>
      <c r="D309" s="65"/>
      <c r="E309" s="65"/>
    </row>
    <row r="310" ht="15.75" customHeight="1">
      <c r="A310" s="65"/>
      <c r="D310" s="65"/>
      <c r="E310" s="65"/>
    </row>
    <row r="311" ht="15.75" customHeight="1">
      <c r="A311" s="65"/>
      <c r="D311" s="65"/>
      <c r="E311" s="65"/>
    </row>
    <row r="312" ht="15.75" customHeight="1">
      <c r="A312" s="65"/>
      <c r="D312" s="65"/>
      <c r="E312" s="65"/>
    </row>
    <row r="313" ht="15.75" customHeight="1">
      <c r="A313" s="65"/>
      <c r="D313" s="65"/>
      <c r="E313" s="65"/>
    </row>
    <row r="314" ht="15.75" customHeight="1">
      <c r="A314" s="65"/>
      <c r="D314" s="65"/>
      <c r="E314" s="65"/>
    </row>
    <row r="315" ht="15.75" customHeight="1">
      <c r="A315" s="65"/>
      <c r="D315" s="65"/>
      <c r="E315" s="65"/>
    </row>
    <row r="316" ht="15.75" customHeight="1">
      <c r="A316" s="65"/>
      <c r="D316" s="65"/>
      <c r="E316" s="65"/>
    </row>
    <row r="317" ht="15.75" customHeight="1">
      <c r="A317" s="65"/>
      <c r="D317" s="65"/>
      <c r="E317" s="65"/>
    </row>
    <row r="318" ht="15.75" customHeight="1">
      <c r="A318" s="65"/>
      <c r="D318" s="65"/>
      <c r="E318" s="65"/>
    </row>
    <row r="319" ht="15.75" customHeight="1">
      <c r="A319" s="65"/>
      <c r="D319" s="65"/>
      <c r="E319" s="65"/>
    </row>
    <row r="320" ht="15.75" customHeight="1">
      <c r="A320" s="65"/>
      <c r="D320" s="65"/>
      <c r="E320" s="65"/>
    </row>
    <row r="321" ht="15.75" customHeight="1">
      <c r="A321" s="65"/>
      <c r="D321" s="65"/>
      <c r="E321" s="65"/>
    </row>
    <row r="322" ht="15.75" customHeight="1">
      <c r="A322" s="65"/>
      <c r="D322" s="65"/>
      <c r="E322" s="65"/>
    </row>
    <row r="323" ht="15.75" customHeight="1">
      <c r="A323" s="65"/>
      <c r="D323" s="65"/>
      <c r="E323" s="65"/>
    </row>
    <row r="324" ht="15.75" customHeight="1">
      <c r="A324" s="65"/>
      <c r="D324" s="65"/>
      <c r="E324" s="65"/>
    </row>
    <row r="325" ht="15.75" customHeight="1">
      <c r="A325" s="65"/>
      <c r="D325" s="65"/>
      <c r="E325" s="65"/>
    </row>
    <row r="326" ht="15.75" customHeight="1">
      <c r="A326" s="65"/>
      <c r="D326" s="65"/>
      <c r="E326" s="65"/>
    </row>
    <row r="327" ht="15.75" customHeight="1">
      <c r="A327" s="65"/>
      <c r="D327" s="65"/>
      <c r="E327" s="65"/>
    </row>
    <row r="328" ht="15.75" customHeight="1">
      <c r="A328" s="65"/>
      <c r="D328" s="65"/>
      <c r="E328" s="65"/>
    </row>
    <row r="329" ht="15.75" customHeight="1">
      <c r="A329" s="65"/>
      <c r="D329" s="65"/>
      <c r="E329" s="65"/>
    </row>
    <row r="330" ht="15.75" customHeight="1">
      <c r="A330" s="65"/>
      <c r="D330" s="65"/>
      <c r="E330" s="65"/>
    </row>
    <row r="331" ht="15.75" customHeight="1">
      <c r="A331" s="65"/>
      <c r="D331" s="65"/>
      <c r="E331" s="65"/>
    </row>
    <row r="332" ht="15.75" customHeight="1">
      <c r="A332" s="65"/>
      <c r="D332" s="65"/>
      <c r="E332" s="65"/>
    </row>
    <row r="333" ht="15.75" customHeight="1">
      <c r="A333" s="65"/>
      <c r="D333" s="65"/>
      <c r="E333" s="65"/>
    </row>
    <row r="334" ht="15.75" customHeight="1">
      <c r="A334" s="65"/>
      <c r="D334" s="65"/>
      <c r="E334" s="65"/>
    </row>
    <row r="335" ht="15.75" customHeight="1">
      <c r="A335" s="65"/>
      <c r="D335" s="65"/>
      <c r="E335" s="65"/>
    </row>
    <row r="336" ht="15.75" customHeight="1">
      <c r="A336" s="65"/>
      <c r="D336" s="65"/>
      <c r="E336" s="65"/>
    </row>
    <row r="337" ht="15.75" customHeight="1">
      <c r="A337" s="65"/>
      <c r="D337" s="65"/>
      <c r="E337" s="65"/>
    </row>
    <row r="338" ht="15.75" customHeight="1">
      <c r="A338" s="65"/>
      <c r="D338" s="65"/>
      <c r="E338" s="65"/>
    </row>
    <row r="339" ht="15.75" customHeight="1">
      <c r="A339" s="65"/>
      <c r="D339" s="65"/>
      <c r="E339" s="65"/>
    </row>
    <row r="340" ht="15.75" customHeight="1">
      <c r="A340" s="65"/>
      <c r="D340" s="65"/>
      <c r="E340" s="65"/>
    </row>
    <row r="341" ht="15.75" customHeight="1">
      <c r="A341" s="65"/>
      <c r="D341" s="65"/>
      <c r="E341" s="65"/>
    </row>
    <row r="342" ht="15.75" customHeight="1">
      <c r="A342" s="65"/>
      <c r="D342" s="65"/>
      <c r="E342" s="65"/>
    </row>
    <row r="343" ht="15.75" customHeight="1">
      <c r="A343" s="65"/>
      <c r="D343" s="65"/>
      <c r="E343" s="65"/>
    </row>
    <row r="344" ht="15.75" customHeight="1">
      <c r="A344" s="65"/>
      <c r="D344" s="65"/>
      <c r="E344" s="65"/>
    </row>
    <row r="345" ht="15.75" customHeight="1">
      <c r="A345" s="65"/>
      <c r="D345" s="65"/>
      <c r="E345" s="65"/>
    </row>
    <row r="346" ht="15.75" customHeight="1">
      <c r="A346" s="65"/>
      <c r="D346" s="65"/>
      <c r="E346" s="65"/>
    </row>
    <row r="347" ht="15.75" customHeight="1">
      <c r="A347" s="65"/>
      <c r="D347" s="65"/>
      <c r="E347" s="65"/>
    </row>
    <row r="348" ht="15.75" customHeight="1">
      <c r="A348" s="65"/>
      <c r="D348" s="65"/>
      <c r="E348" s="65"/>
    </row>
    <row r="349" ht="15.75" customHeight="1">
      <c r="A349" s="65"/>
      <c r="D349" s="65"/>
      <c r="E349" s="65"/>
    </row>
    <row r="350" ht="15.75" customHeight="1">
      <c r="A350" s="65"/>
      <c r="D350" s="65"/>
      <c r="E350" s="65"/>
    </row>
    <row r="351" ht="15.75" customHeight="1">
      <c r="A351" s="65"/>
      <c r="D351" s="65"/>
      <c r="E351" s="65"/>
    </row>
    <row r="352" ht="15.75" customHeight="1">
      <c r="A352" s="65"/>
      <c r="D352" s="65"/>
      <c r="E352" s="65"/>
    </row>
    <row r="353" ht="15.75" customHeight="1">
      <c r="A353" s="65"/>
      <c r="D353" s="65"/>
      <c r="E353" s="65"/>
    </row>
    <row r="354" ht="15.75" customHeight="1">
      <c r="A354" s="65"/>
      <c r="D354" s="65"/>
      <c r="E354" s="65"/>
    </row>
    <row r="355" ht="15.75" customHeight="1">
      <c r="A355" s="65"/>
      <c r="D355" s="65"/>
      <c r="E355" s="65"/>
    </row>
    <row r="356" ht="15.75" customHeight="1">
      <c r="A356" s="65"/>
      <c r="D356" s="65"/>
      <c r="E356" s="65"/>
    </row>
    <row r="357" ht="15.75" customHeight="1">
      <c r="A357" s="65"/>
      <c r="D357" s="65"/>
      <c r="E357" s="65"/>
    </row>
    <row r="358" ht="15.75" customHeight="1">
      <c r="A358" s="65"/>
      <c r="D358" s="65"/>
      <c r="E358" s="65"/>
    </row>
    <row r="359" ht="15.75" customHeight="1">
      <c r="A359" s="65"/>
      <c r="D359" s="65"/>
      <c r="E359" s="65"/>
    </row>
    <row r="360" ht="15.75" customHeight="1">
      <c r="A360" s="65"/>
      <c r="D360" s="65"/>
      <c r="E360" s="65"/>
    </row>
    <row r="361" ht="15.75" customHeight="1">
      <c r="A361" s="65"/>
      <c r="D361" s="65"/>
      <c r="E361" s="65"/>
    </row>
    <row r="362" ht="15.75" customHeight="1">
      <c r="A362" s="65"/>
      <c r="D362" s="65"/>
      <c r="E362" s="65"/>
    </row>
    <row r="363" ht="15.75" customHeight="1">
      <c r="A363" s="65"/>
      <c r="D363" s="65"/>
      <c r="E363" s="65"/>
    </row>
    <row r="364" ht="15.75" customHeight="1">
      <c r="A364" s="65"/>
      <c r="D364" s="65"/>
      <c r="E364" s="65"/>
    </row>
    <row r="365" ht="15.75" customHeight="1">
      <c r="A365" s="65"/>
      <c r="D365" s="65"/>
      <c r="E365" s="65"/>
    </row>
    <row r="366" ht="15.75" customHeight="1">
      <c r="A366" s="65"/>
      <c r="D366" s="65"/>
      <c r="E366" s="65"/>
    </row>
    <row r="367" ht="15.75" customHeight="1">
      <c r="A367" s="65"/>
      <c r="D367" s="65"/>
      <c r="E367" s="65"/>
    </row>
    <row r="368" ht="15.75" customHeight="1">
      <c r="A368" s="65"/>
      <c r="D368" s="65"/>
      <c r="E368" s="65"/>
    </row>
    <row r="369" ht="15.75" customHeight="1">
      <c r="A369" s="65"/>
      <c r="D369" s="65"/>
      <c r="E369" s="65"/>
    </row>
    <row r="370" ht="15.75" customHeight="1">
      <c r="A370" s="65"/>
      <c r="D370" s="65"/>
      <c r="E370" s="65"/>
    </row>
    <row r="371" ht="15.75" customHeight="1">
      <c r="A371" s="65"/>
      <c r="D371" s="65"/>
      <c r="E371" s="65"/>
    </row>
    <row r="372" ht="15.75" customHeight="1">
      <c r="A372" s="65"/>
      <c r="D372" s="65"/>
      <c r="E372" s="65"/>
    </row>
    <row r="373" ht="15.75" customHeight="1">
      <c r="A373" s="65"/>
      <c r="D373" s="65"/>
      <c r="E373" s="65"/>
    </row>
    <row r="374" ht="15.75" customHeight="1">
      <c r="A374" s="65"/>
      <c r="D374" s="65"/>
      <c r="E374" s="65"/>
    </row>
    <row r="375" ht="15.75" customHeight="1">
      <c r="A375" s="65"/>
      <c r="D375" s="65"/>
      <c r="E375" s="65"/>
    </row>
    <row r="376" ht="15.75" customHeight="1">
      <c r="A376" s="65"/>
      <c r="D376" s="65"/>
      <c r="E376" s="65"/>
    </row>
    <row r="377" ht="15.75" customHeight="1">
      <c r="A377" s="65"/>
      <c r="D377" s="65"/>
      <c r="E377" s="65"/>
    </row>
    <row r="378" ht="15.75" customHeight="1">
      <c r="A378" s="65"/>
      <c r="D378" s="65"/>
      <c r="E378" s="65"/>
    </row>
    <row r="379" ht="15.75" customHeight="1">
      <c r="A379" s="65"/>
      <c r="D379" s="65"/>
      <c r="E379" s="65"/>
    </row>
    <row r="380" ht="15.75" customHeight="1">
      <c r="A380" s="65"/>
      <c r="D380" s="65"/>
      <c r="E380" s="65"/>
    </row>
    <row r="381" ht="15.75" customHeight="1">
      <c r="A381" s="65"/>
      <c r="D381" s="65"/>
      <c r="E381" s="65"/>
    </row>
    <row r="382" ht="15.75" customHeight="1">
      <c r="A382" s="65"/>
      <c r="D382" s="65"/>
      <c r="E382" s="65"/>
    </row>
    <row r="383" ht="15.75" customHeight="1">
      <c r="A383" s="65"/>
      <c r="D383" s="65"/>
      <c r="E383" s="65"/>
    </row>
    <row r="384" ht="15.75" customHeight="1">
      <c r="A384" s="65"/>
      <c r="D384" s="65"/>
      <c r="E384" s="65"/>
    </row>
    <row r="385" ht="15.75" customHeight="1">
      <c r="A385" s="65"/>
      <c r="D385" s="65"/>
      <c r="E385" s="65"/>
    </row>
    <row r="386" ht="15.75" customHeight="1">
      <c r="A386" s="65"/>
      <c r="D386" s="65"/>
      <c r="E386" s="65"/>
    </row>
    <row r="387" ht="15.75" customHeight="1">
      <c r="A387" s="65"/>
      <c r="D387" s="65"/>
      <c r="E387" s="65"/>
    </row>
    <row r="388" ht="15.75" customHeight="1">
      <c r="A388" s="65"/>
      <c r="D388" s="65"/>
      <c r="E388" s="65"/>
    </row>
    <row r="389" ht="15.75" customHeight="1">
      <c r="A389" s="65"/>
      <c r="D389" s="65"/>
      <c r="E389" s="65"/>
    </row>
    <row r="390" ht="15.75" customHeight="1">
      <c r="A390" s="65"/>
      <c r="D390" s="65"/>
      <c r="E390" s="65"/>
    </row>
    <row r="391" ht="15.75" customHeight="1">
      <c r="A391" s="65"/>
      <c r="D391" s="65"/>
      <c r="E391" s="65"/>
    </row>
    <row r="392" ht="15.75" customHeight="1">
      <c r="A392" s="65"/>
      <c r="D392" s="65"/>
      <c r="E392" s="65"/>
    </row>
    <row r="393" ht="15.75" customHeight="1">
      <c r="A393" s="65"/>
      <c r="D393" s="65"/>
      <c r="E393" s="65"/>
    </row>
    <row r="394" ht="15.75" customHeight="1">
      <c r="A394" s="65"/>
      <c r="D394" s="65"/>
      <c r="E394" s="65"/>
    </row>
    <row r="395" ht="15.75" customHeight="1">
      <c r="A395" s="65"/>
      <c r="D395" s="65"/>
      <c r="E395" s="65"/>
    </row>
    <row r="396" ht="15.75" customHeight="1">
      <c r="A396" s="65"/>
      <c r="D396" s="65"/>
      <c r="E396" s="65"/>
    </row>
    <row r="397" ht="15.75" customHeight="1">
      <c r="A397" s="65"/>
      <c r="D397" s="65"/>
      <c r="E397" s="65"/>
    </row>
    <row r="398" ht="15.75" customHeight="1">
      <c r="A398" s="65"/>
      <c r="D398" s="65"/>
      <c r="E398" s="65"/>
    </row>
    <row r="399" ht="15.75" customHeight="1">
      <c r="A399" s="65"/>
      <c r="D399" s="65"/>
      <c r="E399" s="65"/>
    </row>
    <row r="400" ht="15.75" customHeight="1">
      <c r="A400" s="65"/>
      <c r="D400" s="65"/>
      <c r="E400" s="65"/>
    </row>
    <row r="401" ht="15.75" customHeight="1">
      <c r="A401" s="65"/>
      <c r="D401" s="65"/>
      <c r="E401" s="65"/>
    </row>
    <row r="402" ht="15.75" customHeight="1">
      <c r="A402" s="65"/>
      <c r="D402" s="65"/>
      <c r="E402" s="65"/>
    </row>
    <row r="403" ht="15.75" customHeight="1">
      <c r="A403" s="65"/>
      <c r="D403" s="65"/>
      <c r="E403" s="65"/>
    </row>
    <row r="404" ht="15.75" customHeight="1">
      <c r="A404" s="65"/>
      <c r="D404" s="65"/>
      <c r="E404" s="65"/>
    </row>
    <row r="405" ht="15.75" customHeight="1">
      <c r="A405" s="65"/>
      <c r="D405" s="65"/>
      <c r="E405" s="65"/>
    </row>
    <row r="406" ht="15.75" customHeight="1">
      <c r="A406" s="65"/>
      <c r="D406" s="65"/>
      <c r="E406" s="65"/>
    </row>
    <row r="407" ht="15.75" customHeight="1">
      <c r="A407" s="65"/>
      <c r="D407" s="65"/>
      <c r="E407" s="65"/>
    </row>
    <row r="408" ht="15.75" customHeight="1">
      <c r="A408" s="65"/>
      <c r="D408" s="65"/>
      <c r="E408" s="65"/>
    </row>
    <row r="409" ht="15.75" customHeight="1">
      <c r="A409" s="65"/>
      <c r="D409" s="65"/>
      <c r="E409" s="65"/>
    </row>
    <row r="410" ht="15.75" customHeight="1">
      <c r="A410" s="65"/>
      <c r="D410" s="65"/>
      <c r="E410" s="65"/>
    </row>
    <row r="411" ht="15.75" customHeight="1">
      <c r="A411" s="65"/>
      <c r="D411" s="65"/>
      <c r="E411" s="65"/>
    </row>
    <row r="412" ht="15.75" customHeight="1">
      <c r="A412" s="65"/>
      <c r="D412" s="65"/>
      <c r="E412" s="65"/>
    </row>
    <row r="413" ht="15.75" customHeight="1">
      <c r="A413" s="65"/>
      <c r="D413" s="65"/>
      <c r="E413" s="65"/>
    </row>
    <row r="414" ht="15.75" customHeight="1">
      <c r="A414" s="65"/>
      <c r="D414" s="65"/>
      <c r="E414" s="65"/>
    </row>
    <row r="415" ht="15.75" customHeight="1">
      <c r="A415" s="65"/>
      <c r="D415" s="65"/>
      <c r="E415" s="65"/>
    </row>
    <row r="416" ht="15.75" customHeight="1">
      <c r="A416" s="65"/>
      <c r="D416" s="65"/>
      <c r="E416" s="65"/>
    </row>
    <row r="417" ht="15.75" customHeight="1">
      <c r="A417" s="65"/>
      <c r="D417" s="65"/>
      <c r="E417" s="65"/>
    </row>
    <row r="418" ht="15.75" customHeight="1">
      <c r="A418" s="65"/>
      <c r="D418" s="65"/>
      <c r="E418" s="65"/>
    </row>
    <row r="419" ht="15.75" customHeight="1">
      <c r="A419" s="65"/>
      <c r="D419" s="65"/>
      <c r="E419" s="65"/>
    </row>
    <row r="420" ht="15.75" customHeight="1">
      <c r="A420" s="65"/>
      <c r="D420" s="65"/>
      <c r="E420" s="65"/>
    </row>
    <row r="421" ht="15.75" customHeight="1">
      <c r="A421" s="65"/>
      <c r="D421" s="65"/>
      <c r="E421" s="65"/>
    </row>
    <row r="422" ht="15.75" customHeight="1">
      <c r="A422" s="65"/>
      <c r="D422" s="65"/>
      <c r="E422" s="65"/>
    </row>
    <row r="423" ht="15.75" customHeight="1">
      <c r="A423" s="65"/>
      <c r="D423" s="65"/>
      <c r="E423" s="65"/>
    </row>
    <row r="424" ht="15.75" customHeight="1">
      <c r="A424" s="65"/>
      <c r="D424" s="65"/>
      <c r="E424" s="65"/>
    </row>
    <row r="425" ht="15.75" customHeight="1">
      <c r="A425" s="65"/>
      <c r="D425" s="65"/>
      <c r="E425" s="65"/>
    </row>
    <row r="426" ht="15.75" customHeight="1">
      <c r="A426" s="65"/>
      <c r="D426" s="65"/>
      <c r="E426" s="65"/>
    </row>
    <row r="427" ht="15.75" customHeight="1">
      <c r="A427" s="65"/>
      <c r="D427" s="65"/>
      <c r="E427" s="65"/>
    </row>
    <row r="428" ht="15.75" customHeight="1">
      <c r="A428" s="65"/>
      <c r="D428" s="65"/>
      <c r="E428" s="65"/>
    </row>
    <row r="429" ht="15.75" customHeight="1">
      <c r="A429" s="65"/>
      <c r="D429" s="65"/>
      <c r="E429" s="65"/>
    </row>
    <row r="430" ht="15.75" customHeight="1">
      <c r="A430" s="65"/>
      <c r="D430" s="65"/>
      <c r="E430" s="65"/>
    </row>
    <row r="431" ht="15.75" customHeight="1">
      <c r="A431" s="65"/>
      <c r="D431" s="65"/>
      <c r="E431" s="65"/>
    </row>
    <row r="432" ht="15.75" customHeight="1">
      <c r="A432" s="65"/>
      <c r="D432" s="65"/>
      <c r="E432" s="65"/>
    </row>
    <row r="433" ht="15.75" customHeight="1">
      <c r="A433" s="65"/>
      <c r="D433" s="65"/>
      <c r="E433" s="65"/>
    </row>
    <row r="434" ht="15.75" customHeight="1">
      <c r="A434" s="65"/>
      <c r="D434" s="65"/>
      <c r="E434" s="65"/>
    </row>
    <row r="435" ht="15.75" customHeight="1">
      <c r="A435" s="65"/>
      <c r="D435" s="65"/>
      <c r="E435" s="65"/>
    </row>
    <row r="436" ht="15.75" customHeight="1">
      <c r="A436" s="65"/>
      <c r="D436" s="65"/>
      <c r="E436" s="65"/>
    </row>
    <row r="437" ht="15.75" customHeight="1">
      <c r="A437" s="65"/>
      <c r="D437" s="65"/>
      <c r="E437" s="65"/>
    </row>
    <row r="438" ht="15.75" customHeight="1">
      <c r="A438" s="65"/>
      <c r="D438" s="65"/>
      <c r="E438" s="65"/>
    </row>
    <row r="439" ht="15.75" customHeight="1">
      <c r="A439" s="65"/>
      <c r="D439" s="65"/>
      <c r="E439" s="65"/>
    </row>
    <row r="440" ht="15.75" customHeight="1">
      <c r="A440" s="65"/>
      <c r="D440" s="65"/>
      <c r="E440" s="65"/>
    </row>
    <row r="441" ht="15.75" customHeight="1">
      <c r="A441" s="65"/>
      <c r="D441" s="65"/>
      <c r="E441" s="65"/>
    </row>
    <row r="442" ht="15.75" customHeight="1">
      <c r="A442" s="65"/>
      <c r="D442" s="65"/>
      <c r="E442" s="65"/>
    </row>
    <row r="443" ht="15.75" customHeight="1">
      <c r="A443" s="65"/>
      <c r="D443" s="65"/>
      <c r="E443" s="65"/>
    </row>
    <row r="444" ht="15.75" customHeight="1">
      <c r="A444" s="65"/>
      <c r="D444" s="65"/>
      <c r="E444" s="65"/>
    </row>
    <row r="445" ht="15.75" customHeight="1">
      <c r="A445" s="65"/>
      <c r="D445" s="65"/>
      <c r="E445" s="65"/>
    </row>
    <row r="446" ht="15.75" customHeight="1">
      <c r="A446" s="65"/>
      <c r="D446" s="65"/>
      <c r="E446" s="65"/>
    </row>
    <row r="447" ht="15.75" customHeight="1">
      <c r="A447" s="65"/>
      <c r="D447" s="65"/>
      <c r="E447" s="65"/>
    </row>
    <row r="448" ht="15.75" customHeight="1">
      <c r="A448" s="65"/>
      <c r="D448" s="65"/>
      <c r="E448" s="65"/>
    </row>
    <row r="449" ht="15.75" customHeight="1">
      <c r="A449" s="65"/>
      <c r="D449" s="65"/>
      <c r="E449" s="65"/>
    </row>
    <row r="450" ht="15.75" customHeight="1">
      <c r="A450" s="65"/>
      <c r="D450" s="65"/>
      <c r="E450" s="65"/>
    </row>
    <row r="451" ht="15.75" customHeight="1">
      <c r="A451" s="65"/>
      <c r="D451" s="65"/>
      <c r="E451" s="65"/>
    </row>
    <row r="452" ht="15.75" customHeight="1">
      <c r="A452" s="65"/>
      <c r="D452" s="65"/>
      <c r="E452" s="65"/>
    </row>
    <row r="453" ht="15.75" customHeight="1">
      <c r="A453" s="65"/>
      <c r="D453" s="65"/>
      <c r="E453" s="65"/>
    </row>
    <row r="454" ht="15.75" customHeight="1">
      <c r="A454" s="65"/>
      <c r="D454" s="65"/>
      <c r="E454" s="65"/>
    </row>
    <row r="455" ht="15.75" customHeight="1">
      <c r="A455" s="65"/>
      <c r="D455" s="65"/>
      <c r="E455" s="65"/>
    </row>
    <row r="456" ht="15.75" customHeight="1">
      <c r="A456" s="65"/>
      <c r="D456" s="65"/>
      <c r="E456" s="65"/>
    </row>
    <row r="457" ht="15.75" customHeight="1">
      <c r="A457" s="65"/>
      <c r="D457" s="65"/>
      <c r="E457" s="65"/>
    </row>
    <row r="458" ht="15.75" customHeight="1">
      <c r="A458" s="65"/>
      <c r="D458" s="65"/>
      <c r="E458" s="65"/>
    </row>
    <row r="459" ht="15.75" customHeight="1">
      <c r="A459" s="65"/>
      <c r="D459" s="65"/>
      <c r="E459" s="65"/>
    </row>
    <row r="460" ht="15.75" customHeight="1">
      <c r="A460" s="65"/>
      <c r="D460" s="65"/>
      <c r="E460" s="65"/>
    </row>
    <row r="461" ht="15.75" customHeight="1">
      <c r="A461" s="65"/>
      <c r="D461" s="65"/>
      <c r="E461" s="65"/>
    </row>
    <row r="462" ht="15.75" customHeight="1">
      <c r="A462" s="65"/>
      <c r="D462" s="65"/>
      <c r="E462" s="65"/>
    </row>
    <row r="463" ht="15.75" customHeight="1">
      <c r="A463" s="65"/>
      <c r="D463" s="65"/>
      <c r="E463" s="65"/>
    </row>
    <row r="464" ht="15.75" customHeight="1">
      <c r="A464" s="65"/>
      <c r="D464" s="65"/>
      <c r="E464" s="65"/>
    </row>
    <row r="465" ht="15.75" customHeight="1">
      <c r="A465" s="65"/>
      <c r="D465" s="65"/>
      <c r="E465" s="65"/>
    </row>
    <row r="466" ht="15.75" customHeight="1">
      <c r="A466" s="65"/>
      <c r="D466" s="65"/>
      <c r="E466" s="65"/>
    </row>
    <row r="467" ht="15.75" customHeight="1">
      <c r="A467" s="65"/>
      <c r="D467" s="65"/>
      <c r="E467" s="65"/>
    </row>
    <row r="468" ht="15.75" customHeight="1">
      <c r="A468" s="65"/>
      <c r="D468" s="65"/>
      <c r="E468" s="65"/>
    </row>
    <row r="469" ht="15.75" customHeight="1">
      <c r="A469" s="65"/>
      <c r="D469" s="65"/>
      <c r="E469" s="65"/>
    </row>
    <row r="470" ht="15.75" customHeight="1">
      <c r="A470" s="65"/>
      <c r="D470" s="65"/>
      <c r="E470" s="65"/>
    </row>
    <row r="471" ht="15.75" customHeight="1">
      <c r="A471" s="65"/>
      <c r="D471" s="65"/>
      <c r="E471" s="65"/>
    </row>
    <row r="472" ht="15.75" customHeight="1">
      <c r="A472" s="65"/>
      <c r="D472" s="65"/>
      <c r="E472" s="65"/>
    </row>
    <row r="473" ht="15.75" customHeight="1">
      <c r="A473" s="65"/>
      <c r="D473" s="65"/>
      <c r="E473" s="65"/>
    </row>
    <row r="474" ht="15.75" customHeight="1">
      <c r="A474" s="65"/>
      <c r="D474" s="65"/>
      <c r="E474" s="65"/>
    </row>
    <row r="475" ht="15.75" customHeight="1">
      <c r="A475" s="65"/>
      <c r="D475" s="65"/>
      <c r="E475" s="65"/>
    </row>
    <row r="476" ht="15.75" customHeight="1">
      <c r="A476" s="65"/>
      <c r="D476" s="65"/>
      <c r="E476" s="65"/>
    </row>
    <row r="477" ht="15.75" customHeight="1">
      <c r="A477" s="65"/>
      <c r="D477" s="65"/>
      <c r="E477" s="65"/>
    </row>
    <row r="478" ht="15.75" customHeight="1">
      <c r="A478" s="65"/>
      <c r="D478" s="65"/>
      <c r="E478" s="65"/>
    </row>
    <row r="479" ht="15.75" customHeight="1">
      <c r="A479" s="65"/>
      <c r="D479" s="65"/>
      <c r="E479" s="65"/>
    </row>
    <row r="480" ht="15.75" customHeight="1">
      <c r="A480" s="65"/>
      <c r="D480" s="65"/>
      <c r="E480" s="65"/>
    </row>
    <row r="481" ht="15.75" customHeight="1">
      <c r="A481" s="65"/>
      <c r="D481" s="65"/>
      <c r="E481" s="65"/>
    </row>
    <row r="482" ht="15.75" customHeight="1">
      <c r="A482" s="65"/>
      <c r="D482" s="65"/>
      <c r="E482" s="65"/>
    </row>
    <row r="483" ht="15.75" customHeight="1">
      <c r="A483" s="65"/>
      <c r="D483" s="65"/>
      <c r="E483" s="65"/>
    </row>
    <row r="484" ht="15.75" customHeight="1">
      <c r="A484" s="65"/>
      <c r="D484" s="65"/>
      <c r="E484" s="65"/>
    </row>
    <row r="485" ht="15.75" customHeight="1">
      <c r="A485" s="65"/>
      <c r="D485" s="65"/>
      <c r="E485" s="65"/>
    </row>
    <row r="486" ht="15.75" customHeight="1">
      <c r="A486" s="65"/>
      <c r="D486" s="65"/>
      <c r="E486" s="65"/>
    </row>
    <row r="487" ht="15.75" customHeight="1">
      <c r="A487" s="65"/>
      <c r="D487" s="65"/>
      <c r="E487" s="65"/>
    </row>
    <row r="488" ht="15.75" customHeight="1">
      <c r="A488" s="65"/>
      <c r="D488" s="65"/>
      <c r="E488" s="65"/>
    </row>
    <row r="489" ht="15.75" customHeight="1">
      <c r="A489" s="65"/>
      <c r="D489" s="65"/>
      <c r="E489" s="65"/>
    </row>
    <row r="490" ht="15.75" customHeight="1">
      <c r="A490" s="65"/>
      <c r="D490" s="65"/>
      <c r="E490" s="65"/>
    </row>
    <row r="491" ht="15.75" customHeight="1">
      <c r="A491" s="65"/>
      <c r="D491" s="65"/>
      <c r="E491" s="65"/>
    </row>
    <row r="492" ht="15.75" customHeight="1">
      <c r="A492" s="65"/>
      <c r="D492" s="65"/>
      <c r="E492" s="65"/>
    </row>
    <row r="493" ht="15.75" customHeight="1">
      <c r="A493" s="65"/>
      <c r="D493" s="65"/>
      <c r="E493" s="65"/>
    </row>
    <row r="494" ht="15.75" customHeight="1">
      <c r="A494" s="65"/>
      <c r="D494" s="65"/>
      <c r="E494" s="65"/>
    </row>
    <row r="495" ht="15.75" customHeight="1">
      <c r="A495" s="65"/>
      <c r="D495" s="65"/>
      <c r="E495" s="65"/>
    </row>
    <row r="496" ht="15.75" customHeight="1">
      <c r="A496" s="65"/>
      <c r="D496" s="65"/>
      <c r="E496" s="65"/>
    </row>
    <row r="497" ht="15.75" customHeight="1">
      <c r="A497" s="65"/>
      <c r="D497" s="65"/>
      <c r="E497" s="65"/>
    </row>
    <row r="498" ht="15.75" customHeight="1">
      <c r="A498" s="65"/>
      <c r="D498" s="65"/>
      <c r="E498" s="65"/>
    </row>
    <row r="499" ht="15.75" customHeight="1">
      <c r="A499" s="65"/>
      <c r="D499" s="65"/>
      <c r="E499" s="65"/>
    </row>
    <row r="500" ht="15.75" customHeight="1">
      <c r="A500" s="65"/>
      <c r="D500" s="65"/>
      <c r="E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conditionalFormatting sqref="D7:D1000">
    <cfRule type="expression" dxfId="0" priority="1">
      <formula>D7="Відкрите"</formula>
    </cfRule>
  </conditionalFormatting>
  <dataValidations>
    <dataValidation type="list" allowBlank="1" sqref="E7:E500">
      <formula1>"Так,Ні"</formula1>
    </dataValidation>
    <dataValidation type="list" allowBlank="1" sqref="D7:D500">
      <formula1>"Відкрите,Відповіли,Не актуально"</formula1>
    </dataValidation>
    <dataValidation type="list" allowBlank="1" sqref="A7:A500">
      <formula1>"Бізнес-ціль,Користувачі,Інтеграції,Дані,Compliance,Критерії успіху,Інше"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40.0"/>
    <col customWidth="1" min="4" max="4" width="12.0"/>
    <col customWidth="1" min="5" max="5" width="25.71"/>
    <col customWidth="1" min="6" max="7" width="9.0"/>
    <col customWidth="1" min="8" max="8" width="10.0"/>
    <col customWidth="1" min="9" max="9" width="11.0"/>
    <col customWidth="1" min="10" max="10" width="12.0"/>
    <col customWidth="1" min="11" max="11" width="9.0"/>
    <col customWidth="1" min="12" max="12" width="47.14"/>
    <col customWidth="1" min="13" max="13" width="3.71"/>
    <col customWidth="1" min="14" max="14" width="28.71"/>
    <col customWidth="1" min="15" max="15" width="74.43"/>
  </cols>
  <sheetData>
    <row r="1">
      <c r="A1" s="1" t="s">
        <v>6</v>
      </c>
    </row>
    <row r="2" ht="48.0" customHeight="1">
      <c r="A2" s="2" t="s">
        <v>7</v>
      </c>
    </row>
    <row r="4">
      <c r="A4" s="8" t="s">
        <v>12</v>
      </c>
      <c r="E4" s="8" t="s">
        <v>14</v>
      </c>
      <c r="N4" s="11" t="s">
        <v>16</v>
      </c>
    </row>
    <row r="5">
      <c r="B5" s="7" t="s">
        <v>20</v>
      </c>
      <c r="C5" s="15">
        <v>40.0</v>
      </c>
      <c r="D5" s="16" t="s">
        <v>23</v>
      </c>
      <c r="E5" s="7" t="s">
        <v>25</v>
      </c>
      <c r="F5" s="19">
        <f>SUMIFS(H11:H500,K11:K500,"In")</f>
        <v>12.66666667</v>
      </c>
      <c r="N5" s="20" t="s">
        <v>44</v>
      </c>
      <c r="O5" s="21" t="s">
        <v>47</v>
      </c>
    </row>
    <row r="6">
      <c r="B6" s="7" t="s">
        <v>48</v>
      </c>
      <c r="C6" s="22">
        <v>0.15</v>
      </c>
      <c r="D6" s="16" t="s">
        <v>49</v>
      </c>
      <c r="E6" s="7" t="s">
        <v>50</v>
      </c>
      <c r="F6" s="19">
        <f>SUMIFS(I11:I500,K11:K500,"Out")</f>
        <v>0</v>
      </c>
      <c r="N6" s="24" t="s">
        <v>20</v>
      </c>
      <c r="O6" s="25" t="s">
        <v>75</v>
      </c>
    </row>
    <row r="7">
      <c r="B7" s="7" t="s">
        <v>82</v>
      </c>
      <c r="C7" s="19">
        <f>SUMIFS(I11:I500,K11:K500,"In")</f>
        <v>14.56666667</v>
      </c>
      <c r="E7" s="7" t="s">
        <v>94</v>
      </c>
      <c r="F7" s="19">
        <f>SUMIFS(E11:E500,K11:K500,"In")</f>
        <v>8</v>
      </c>
      <c r="N7" s="24" t="s">
        <v>48</v>
      </c>
      <c r="O7" s="25" t="s">
        <v>98</v>
      </c>
    </row>
    <row r="8">
      <c r="B8" s="7" t="s">
        <v>99</v>
      </c>
      <c r="C8" s="28">
        <f>C7*C5</f>
        <v>582.6666667</v>
      </c>
      <c r="E8" s="7" t="s">
        <v>104</v>
      </c>
      <c r="F8" s="19">
        <f>SUMIFS(G11:G500,K11:K500,"In")</f>
        <v>20</v>
      </c>
      <c r="N8" s="24" t="s">
        <v>106</v>
      </c>
      <c r="O8" s="25" t="s">
        <v>107</v>
      </c>
    </row>
    <row r="9">
      <c r="N9" s="24" t="s">
        <v>108</v>
      </c>
      <c r="O9" s="25" t="s">
        <v>109</v>
      </c>
    </row>
    <row r="10" ht="30.0" customHeight="1">
      <c r="A10" s="4" t="s">
        <v>111</v>
      </c>
      <c r="B10" s="4" t="s">
        <v>112</v>
      </c>
      <c r="C10" s="4" t="s">
        <v>113</v>
      </c>
      <c r="D10" s="4" t="s">
        <v>114</v>
      </c>
      <c r="E10" s="4" t="s">
        <v>106</v>
      </c>
      <c r="F10" s="4" t="s">
        <v>108</v>
      </c>
      <c r="G10" s="4" t="s">
        <v>116</v>
      </c>
      <c r="H10" s="4" t="s">
        <v>117</v>
      </c>
      <c r="I10" s="4" t="s">
        <v>119</v>
      </c>
      <c r="J10" s="4" t="s">
        <v>121</v>
      </c>
      <c r="K10" s="4" t="s">
        <v>122</v>
      </c>
      <c r="L10" s="4" t="s">
        <v>123</v>
      </c>
      <c r="N10" s="24" t="s">
        <v>116</v>
      </c>
      <c r="O10" s="25" t="s">
        <v>124</v>
      </c>
    </row>
    <row r="11">
      <c r="A11" s="27" t="s">
        <v>126</v>
      </c>
      <c r="B11" s="27" t="s">
        <v>127</v>
      </c>
      <c r="C11" s="27" t="s">
        <v>128</v>
      </c>
      <c r="D11" s="27" t="s">
        <v>131</v>
      </c>
      <c r="E11" s="27">
        <v>8.0</v>
      </c>
      <c r="F11" s="27">
        <v>12.0</v>
      </c>
      <c r="G11" s="27">
        <v>20.0</v>
      </c>
      <c r="H11" s="33">
        <f>IF(COUNT(E11:G11)&lt;3,"",(E11+4*F11+G11)/6)</f>
        <v>12.66666667</v>
      </c>
      <c r="I11" s="33">
        <f>IF(H11="","",H11*(1+$C$6))</f>
        <v>14.56666667</v>
      </c>
      <c r="J11" s="38">
        <f>IF(I11="","",I11*$C$5)</f>
        <v>582.6666667</v>
      </c>
      <c r="K11" s="27" t="s">
        <v>158</v>
      </c>
      <c r="L11" s="27" t="s">
        <v>159</v>
      </c>
      <c r="N11" s="24" t="s">
        <v>117</v>
      </c>
      <c r="O11" s="25" t="s">
        <v>163</v>
      </c>
    </row>
    <row r="12">
      <c r="A12" s="31"/>
      <c r="B12" s="31"/>
      <c r="C12" s="31"/>
      <c r="D12" s="31"/>
      <c r="E12" s="31"/>
      <c r="F12" s="31"/>
      <c r="G12" s="31"/>
      <c r="H12" s="40"/>
      <c r="I12" s="40"/>
      <c r="J12" s="41"/>
      <c r="K12" s="31" t="s">
        <v>158</v>
      </c>
      <c r="L12" s="31"/>
      <c r="N12" s="24" t="s">
        <v>119</v>
      </c>
      <c r="O12" s="25" t="s">
        <v>186</v>
      </c>
    </row>
    <row r="13">
      <c r="A13" s="31"/>
      <c r="B13" s="31"/>
      <c r="C13" s="31"/>
      <c r="D13" s="31"/>
      <c r="E13" s="31"/>
      <c r="F13" s="31"/>
      <c r="G13" s="31"/>
      <c r="H13" s="40" t="str">
        <f t="shared" ref="H13:H210" si="1">IF(COUNT(E13:G13)&lt;3,"",(E13+4*F13+G13)/6)</f>
        <v/>
      </c>
      <c r="I13" s="40" t="str">
        <f t="shared" ref="I13:I210" si="2">IF(H13="","",H13*(1+$C$6))</f>
        <v/>
      </c>
      <c r="J13" s="41" t="str">
        <f t="shared" ref="J13:J210" si="3">IF(I13="","",I13*$C$5)</f>
        <v/>
      </c>
      <c r="K13" s="31"/>
      <c r="L13" s="31"/>
      <c r="N13" s="24" t="s">
        <v>121</v>
      </c>
      <c r="O13" s="25" t="s">
        <v>200</v>
      </c>
    </row>
    <row r="14">
      <c r="A14" s="31"/>
      <c r="B14" s="31"/>
      <c r="C14" s="31"/>
      <c r="D14" s="31"/>
      <c r="E14" s="31"/>
      <c r="F14" s="31"/>
      <c r="G14" s="31"/>
      <c r="H14" s="40" t="str">
        <f t="shared" si="1"/>
        <v/>
      </c>
      <c r="I14" s="40" t="str">
        <f t="shared" si="2"/>
        <v/>
      </c>
      <c r="J14" s="41" t="str">
        <f t="shared" si="3"/>
        <v/>
      </c>
      <c r="K14" s="31"/>
      <c r="L14" s="31"/>
      <c r="N14" s="24" t="s">
        <v>122</v>
      </c>
      <c r="O14" s="25" t="s">
        <v>203</v>
      </c>
    </row>
    <row r="15">
      <c r="A15" s="31"/>
      <c r="B15" s="31"/>
      <c r="C15" s="31"/>
      <c r="D15" s="31"/>
      <c r="E15" s="31"/>
      <c r="F15" s="31"/>
      <c r="G15" s="31"/>
      <c r="H15" s="40" t="str">
        <f t="shared" si="1"/>
        <v/>
      </c>
      <c r="I15" s="40" t="str">
        <f t="shared" si="2"/>
        <v/>
      </c>
      <c r="J15" s="41" t="str">
        <f t="shared" si="3"/>
        <v/>
      </c>
      <c r="K15" s="31"/>
      <c r="L15" s="31"/>
      <c r="N15" s="24" t="s">
        <v>204</v>
      </c>
      <c r="O15" s="25" t="s">
        <v>205</v>
      </c>
    </row>
    <row r="16">
      <c r="A16" s="31"/>
      <c r="B16" s="31"/>
      <c r="C16" s="31"/>
      <c r="D16" s="31"/>
      <c r="E16" s="31"/>
      <c r="F16" s="31"/>
      <c r="G16" s="31"/>
      <c r="H16" s="40" t="str">
        <f t="shared" si="1"/>
        <v/>
      </c>
      <c r="I16" s="40" t="str">
        <f t="shared" si="2"/>
        <v/>
      </c>
      <c r="J16" s="41" t="str">
        <f t="shared" si="3"/>
        <v/>
      </c>
      <c r="K16" s="31"/>
      <c r="L16" s="31"/>
      <c r="N16" s="24" t="s">
        <v>206</v>
      </c>
      <c r="O16" s="25" t="s">
        <v>207</v>
      </c>
    </row>
    <row r="17">
      <c r="A17" s="31"/>
      <c r="B17" s="31"/>
      <c r="C17" s="31"/>
      <c r="D17" s="31"/>
      <c r="E17" s="31"/>
      <c r="F17" s="31"/>
      <c r="G17" s="31"/>
      <c r="H17" s="40" t="str">
        <f t="shared" si="1"/>
        <v/>
      </c>
      <c r="I17" s="40" t="str">
        <f t="shared" si="2"/>
        <v/>
      </c>
      <c r="J17" s="41" t="str">
        <f t="shared" si="3"/>
        <v/>
      </c>
      <c r="K17" s="31"/>
      <c r="L17" s="31"/>
      <c r="N17" s="24" t="s">
        <v>99</v>
      </c>
      <c r="O17" s="25" t="s">
        <v>208</v>
      </c>
    </row>
    <row r="18">
      <c r="A18" s="31"/>
      <c r="B18" s="31"/>
      <c r="C18" s="31"/>
      <c r="D18" s="31"/>
      <c r="E18" s="31"/>
      <c r="F18" s="31"/>
      <c r="G18" s="31"/>
      <c r="H18" s="40" t="str">
        <f t="shared" si="1"/>
        <v/>
      </c>
      <c r="I18" s="40" t="str">
        <f t="shared" si="2"/>
        <v/>
      </c>
      <c r="J18" s="41" t="str">
        <f t="shared" si="3"/>
        <v/>
      </c>
      <c r="K18" s="31"/>
      <c r="L18" s="31"/>
      <c r="N18" s="24" t="s">
        <v>209</v>
      </c>
      <c r="O18" s="25" t="s">
        <v>210</v>
      </c>
    </row>
    <row r="19">
      <c r="A19" s="31"/>
      <c r="B19" s="31"/>
      <c r="C19" s="31"/>
      <c r="D19" s="31"/>
      <c r="E19" s="31"/>
      <c r="F19" s="31"/>
      <c r="G19" s="31"/>
      <c r="H19" s="40" t="str">
        <f t="shared" si="1"/>
        <v/>
      </c>
      <c r="I19" s="40" t="str">
        <f t="shared" si="2"/>
        <v/>
      </c>
      <c r="J19" s="41" t="str">
        <f t="shared" si="3"/>
        <v/>
      </c>
      <c r="K19" s="31"/>
      <c r="L19" s="31"/>
      <c r="N19" s="24" t="s">
        <v>211</v>
      </c>
      <c r="O19" s="25" t="s">
        <v>212</v>
      </c>
    </row>
    <row r="20">
      <c r="A20" s="31"/>
      <c r="B20" s="31"/>
      <c r="C20" s="31"/>
      <c r="D20" s="31"/>
      <c r="E20" s="31"/>
      <c r="F20" s="31"/>
      <c r="G20" s="31"/>
      <c r="H20" s="40" t="str">
        <f t="shared" si="1"/>
        <v/>
      </c>
      <c r="I20" s="40" t="str">
        <f t="shared" si="2"/>
        <v/>
      </c>
      <c r="J20" s="41" t="str">
        <f t="shared" si="3"/>
        <v/>
      </c>
      <c r="K20" s="31"/>
      <c r="L20" s="31"/>
      <c r="N20" s="24" t="s">
        <v>213</v>
      </c>
      <c r="O20" s="25" t="s">
        <v>214</v>
      </c>
    </row>
    <row r="21" ht="15.75" customHeight="1">
      <c r="A21" s="31"/>
      <c r="B21" s="31"/>
      <c r="C21" s="31"/>
      <c r="D21" s="31"/>
      <c r="E21" s="31"/>
      <c r="F21" s="31"/>
      <c r="G21" s="31"/>
      <c r="H21" s="40" t="str">
        <f t="shared" si="1"/>
        <v/>
      </c>
      <c r="I21" s="40" t="str">
        <f t="shared" si="2"/>
        <v/>
      </c>
      <c r="J21" s="41" t="str">
        <f t="shared" si="3"/>
        <v/>
      </c>
      <c r="K21" s="31"/>
      <c r="L21" s="31"/>
      <c r="N21" s="24" t="s">
        <v>215</v>
      </c>
      <c r="O21" s="25" t="s">
        <v>216</v>
      </c>
    </row>
    <row r="22" ht="15.75" customHeight="1">
      <c r="A22" s="31"/>
      <c r="B22" s="31"/>
      <c r="C22" s="31"/>
      <c r="D22" s="31"/>
      <c r="E22" s="31"/>
      <c r="F22" s="31"/>
      <c r="G22" s="31"/>
      <c r="H22" s="40" t="str">
        <f t="shared" si="1"/>
        <v/>
      </c>
      <c r="I22" s="40" t="str">
        <f t="shared" si="2"/>
        <v/>
      </c>
      <c r="J22" s="41" t="str">
        <f t="shared" si="3"/>
        <v/>
      </c>
      <c r="K22" s="31"/>
      <c r="L22" s="31"/>
    </row>
    <row r="23" ht="15.75" customHeight="1">
      <c r="A23" s="31"/>
      <c r="B23" s="31"/>
      <c r="C23" s="31"/>
      <c r="D23" s="31"/>
      <c r="E23" s="31"/>
      <c r="F23" s="31"/>
      <c r="G23" s="31"/>
      <c r="H23" s="40" t="str">
        <f t="shared" si="1"/>
        <v/>
      </c>
      <c r="I23" s="40" t="str">
        <f t="shared" si="2"/>
        <v/>
      </c>
      <c r="J23" s="41" t="str">
        <f t="shared" si="3"/>
        <v/>
      </c>
      <c r="K23" s="31"/>
      <c r="L23" s="31"/>
    </row>
    <row r="24" ht="15.75" customHeight="1">
      <c r="A24" s="31"/>
      <c r="B24" s="31"/>
      <c r="C24" s="31"/>
      <c r="D24" s="31"/>
      <c r="E24" s="31"/>
      <c r="F24" s="31"/>
      <c r="G24" s="31"/>
      <c r="H24" s="40" t="str">
        <f t="shared" si="1"/>
        <v/>
      </c>
      <c r="I24" s="40" t="str">
        <f t="shared" si="2"/>
        <v/>
      </c>
      <c r="J24" s="41" t="str">
        <f t="shared" si="3"/>
        <v/>
      </c>
      <c r="K24" s="31"/>
      <c r="L24" s="31"/>
    </row>
    <row r="25" ht="15.75" customHeight="1">
      <c r="A25" s="31"/>
      <c r="B25" s="31"/>
      <c r="C25" s="31"/>
      <c r="D25" s="31"/>
      <c r="E25" s="31"/>
      <c r="F25" s="31"/>
      <c r="G25" s="31"/>
      <c r="H25" s="40" t="str">
        <f t="shared" si="1"/>
        <v/>
      </c>
      <c r="I25" s="40" t="str">
        <f t="shared" si="2"/>
        <v/>
      </c>
      <c r="J25" s="41" t="str">
        <f t="shared" si="3"/>
        <v/>
      </c>
      <c r="K25" s="31"/>
      <c r="L25" s="31"/>
    </row>
    <row r="26" ht="15.75" customHeight="1">
      <c r="A26" s="31"/>
      <c r="B26" s="31"/>
      <c r="C26" s="31"/>
      <c r="D26" s="31"/>
      <c r="E26" s="31"/>
      <c r="F26" s="31"/>
      <c r="G26" s="31"/>
      <c r="H26" s="40" t="str">
        <f t="shared" si="1"/>
        <v/>
      </c>
      <c r="I26" s="40" t="str">
        <f t="shared" si="2"/>
        <v/>
      </c>
      <c r="J26" s="41" t="str">
        <f t="shared" si="3"/>
        <v/>
      </c>
      <c r="K26" s="31"/>
      <c r="L26" s="31"/>
    </row>
    <row r="27" ht="15.75" customHeight="1">
      <c r="A27" s="31"/>
      <c r="B27" s="31"/>
      <c r="C27" s="31"/>
      <c r="D27" s="31"/>
      <c r="E27" s="31"/>
      <c r="F27" s="31"/>
      <c r="G27" s="31"/>
      <c r="H27" s="40" t="str">
        <f t="shared" si="1"/>
        <v/>
      </c>
      <c r="I27" s="40" t="str">
        <f t="shared" si="2"/>
        <v/>
      </c>
      <c r="J27" s="41" t="str">
        <f t="shared" si="3"/>
        <v/>
      </c>
      <c r="K27" s="31"/>
      <c r="L27" s="31"/>
    </row>
    <row r="28" ht="15.75" customHeight="1">
      <c r="A28" s="31"/>
      <c r="B28" s="31"/>
      <c r="C28" s="31"/>
      <c r="D28" s="31"/>
      <c r="E28" s="31"/>
      <c r="F28" s="31"/>
      <c r="G28" s="31"/>
      <c r="H28" s="40" t="str">
        <f t="shared" si="1"/>
        <v/>
      </c>
      <c r="I28" s="40" t="str">
        <f t="shared" si="2"/>
        <v/>
      </c>
      <c r="J28" s="41" t="str">
        <f t="shared" si="3"/>
        <v/>
      </c>
      <c r="K28" s="31"/>
      <c r="L28" s="31"/>
    </row>
    <row r="29" ht="15.75" customHeight="1">
      <c r="A29" s="31"/>
      <c r="B29" s="31"/>
      <c r="C29" s="31"/>
      <c r="D29" s="31"/>
      <c r="E29" s="31"/>
      <c r="F29" s="31"/>
      <c r="G29" s="31"/>
      <c r="H29" s="40" t="str">
        <f t="shared" si="1"/>
        <v/>
      </c>
      <c r="I29" s="40" t="str">
        <f t="shared" si="2"/>
        <v/>
      </c>
      <c r="J29" s="41" t="str">
        <f t="shared" si="3"/>
        <v/>
      </c>
      <c r="K29" s="31"/>
      <c r="L29" s="31"/>
    </row>
    <row r="30" ht="15.75" customHeight="1">
      <c r="A30" s="31"/>
      <c r="B30" s="31"/>
      <c r="C30" s="31"/>
      <c r="D30" s="31"/>
      <c r="E30" s="31"/>
      <c r="F30" s="31"/>
      <c r="G30" s="31"/>
      <c r="H30" s="40" t="str">
        <f t="shared" si="1"/>
        <v/>
      </c>
      <c r="I30" s="40" t="str">
        <f t="shared" si="2"/>
        <v/>
      </c>
      <c r="J30" s="41" t="str">
        <f t="shared" si="3"/>
        <v/>
      </c>
      <c r="K30" s="31"/>
      <c r="L30" s="31"/>
    </row>
    <row r="31" ht="15.75" customHeight="1">
      <c r="A31" s="31"/>
      <c r="B31" s="31"/>
      <c r="C31" s="31"/>
      <c r="D31" s="31"/>
      <c r="E31" s="31"/>
      <c r="F31" s="31"/>
      <c r="G31" s="31"/>
      <c r="H31" s="40" t="str">
        <f t="shared" si="1"/>
        <v/>
      </c>
      <c r="I31" s="40" t="str">
        <f t="shared" si="2"/>
        <v/>
      </c>
      <c r="J31" s="41" t="str">
        <f t="shared" si="3"/>
        <v/>
      </c>
      <c r="K31" s="31"/>
      <c r="L31" s="31"/>
    </row>
    <row r="32" ht="15.75" customHeight="1">
      <c r="A32" s="31"/>
      <c r="B32" s="31"/>
      <c r="C32" s="31"/>
      <c r="D32" s="31"/>
      <c r="E32" s="31"/>
      <c r="F32" s="31"/>
      <c r="G32" s="31"/>
      <c r="H32" s="40" t="str">
        <f t="shared" si="1"/>
        <v/>
      </c>
      <c r="I32" s="40" t="str">
        <f t="shared" si="2"/>
        <v/>
      </c>
      <c r="J32" s="41" t="str">
        <f t="shared" si="3"/>
        <v/>
      </c>
      <c r="K32" s="31"/>
      <c r="L32" s="31"/>
    </row>
    <row r="33" ht="15.75" customHeight="1">
      <c r="A33" s="31"/>
      <c r="B33" s="31"/>
      <c r="C33" s="31"/>
      <c r="D33" s="31"/>
      <c r="E33" s="31"/>
      <c r="F33" s="31"/>
      <c r="G33" s="31"/>
      <c r="H33" s="40" t="str">
        <f t="shared" si="1"/>
        <v/>
      </c>
      <c r="I33" s="40" t="str">
        <f t="shared" si="2"/>
        <v/>
      </c>
      <c r="J33" s="41" t="str">
        <f t="shared" si="3"/>
        <v/>
      </c>
      <c r="K33" s="31"/>
      <c r="L33" s="31"/>
    </row>
    <row r="34" ht="15.75" customHeight="1">
      <c r="A34" s="31"/>
      <c r="B34" s="31"/>
      <c r="C34" s="31"/>
      <c r="D34" s="31"/>
      <c r="E34" s="31"/>
      <c r="F34" s="31"/>
      <c r="G34" s="31"/>
      <c r="H34" s="40" t="str">
        <f t="shared" si="1"/>
        <v/>
      </c>
      <c r="I34" s="40" t="str">
        <f t="shared" si="2"/>
        <v/>
      </c>
      <c r="J34" s="41" t="str">
        <f t="shared" si="3"/>
        <v/>
      </c>
      <c r="K34" s="31"/>
      <c r="L34" s="31"/>
    </row>
    <row r="35" ht="15.75" customHeight="1">
      <c r="A35" s="31"/>
      <c r="B35" s="31"/>
      <c r="C35" s="31"/>
      <c r="D35" s="31"/>
      <c r="E35" s="31"/>
      <c r="F35" s="31"/>
      <c r="G35" s="31"/>
      <c r="H35" s="40" t="str">
        <f t="shared" si="1"/>
        <v/>
      </c>
      <c r="I35" s="40" t="str">
        <f t="shared" si="2"/>
        <v/>
      </c>
      <c r="J35" s="41" t="str">
        <f t="shared" si="3"/>
        <v/>
      </c>
      <c r="K35" s="31"/>
      <c r="L35" s="31"/>
    </row>
    <row r="36" ht="15.75" customHeight="1">
      <c r="A36" s="31"/>
      <c r="B36" s="31"/>
      <c r="C36" s="31"/>
      <c r="D36" s="31"/>
      <c r="E36" s="31"/>
      <c r="F36" s="31"/>
      <c r="G36" s="31"/>
      <c r="H36" s="40" t="str">
        <f t="shared" si="1"/>
        <v/>
      </c>
      <c r="I36" s="40" t="str">
        <f t="shared" si="2"/>
        <v/>
      </c>
      <c r="J36" s="41" t="str">
        <f t="shared" si="3"/>
        <v/>
      </c>
      <c r="K36" s="31"/>
      <c r="L36" s="31"/>
    </row>
    <row r="37" ht="15.75" customHeight="1">
      <c r="A37" s="31"/>
      <c r="B37" s="31"/>
      <c r="C37" s="31"/>
      <c r="D37" s="31"/>
      <c r="E37" s="31"/>
      <c r="F37" s="31"/>
      <c r="G37" s="31"/>
      <c r="H37" s="40" t="str">
        <f t="shared" si="1"/>
        <v/>
      </c>
      <c r="I37" s="40" t="str">
        <f t="shared" si="2"/>
        <v/>
      </c>
      <c r="J37" s="41" t="str">
        <f t="shared" si="3"/>
        <v/>
      </c>
      <c r="K37" s="31"/>
      <c r="L37" s="31"/>
    </row>
    <row r="38" ht="15.75" customHeight="1">
      <c r="A38" s="31"/>
      <c r="B38" s="31"/>
      <c r="C38" s="31"/>
      <c r="D38" s="31"/>
      <c r="E38" s="31"/>
      <c r="F38" s="31"/>
      <c r="G38" s="31"/>
      <c r="H38" s="40" t="str">
        <f t="shared" si="1"/>
        <v/>
      </c>
      <c r="I38" s="40" t="str">
        <f t="shared" si="2"/>
        <v/>
      </c>
      <c r="J38" s="41" t="str">
        <f t="shared" si="3"/>
        <v/>
      </c>
      <c r="K38" s="31"/>
      <c r="L38" s="31"/>
    </row>
    <row r="39" ht="15.75" customHeight="1">
      <c r="A39" s="31"/>
      <c r="B39" s="31"/>
      <c r="C39" s="31"/>
      <c r="D39" s="31"/>
      <c r="E39" s="31"/>
      <c r="F39" s="31"/>
      <c r="G39" s="31"/>
      <c r="H39" s="40" t="str">
        <f t="shared" si="1"/>
        <v/>
      </c>
      <c r="I39" s="40" t="str">
        <f t="shared" si="2"/>
        <v/>
      </c>
      <c r="J39" s="41" t="str">
        <f t="shared" si="3"/>
        <v/>
      </c>
      <c r="K39" s="31"/>
      <c r="L39" s="31"/>
    </row>
    <row r="40" ht="15.75" customHeight="1">
      <c r="A40" s="31"/>
      <c r="B40" s="31"/>
      <c r="C40" s="31"/>
      <c r="D40" s="31"/>
      <c r="E40" s="31"/>
      <c r="F40" s="31"/>
      <c r="G40" s="31"/>
      <c r="H40" s="40" t="str">
        <f t="shared" si="1"/>
        <v/>
      </c>
      <c r="I40" s="40" t="str">
        <f t="shared" si="2"/>
        <v/>
      </c>
      <c r="J40" s="41" t="str">
        <f t="shared" si="3"/>
        <v/>
      </c>
      <c r="K40" s="31"/>
      <c r="L40" s="31"/>
    </row>
    <row r="41" ht="15.75" customHeight="1">
      <c r="A41" s="31"/>
      <c r="B41" s="31"/>
      <c r="C41" s="31"/>
      <c r="D41" s="31"/>
      <c r="E41" s="31"/>
      <c r="F41" s="31"/>
      <c r="G41" s="31"/>
      <c r="H41" s="40" t="str">
        <f t="shared" si="1"/>
        <v/>
      </c>
      <c r="I41" s="40" t="str">
        <f t="shared" si="2"/>
        <v/>
      </c>
      <c r="J41" s="41" t="str">
        <f t="shared" si="3"/>
        <v/>
      </c>
      <c r="K41" s="31"/>
      <c r="L41" s="31"/>
    </row>
    <row r="42" ht="15.75" customHeight="1">
      <c r="D42" s="43"/>
      <c r="H42" s="48" t="str">
        <f t="shared" si="1"/>
        <v/>
      </c>
      <c r="I42" s="48" t="str">
        <f t="shared" si="2"/>
        <v/>
      </c>
      <c r="J42" s="49" t="str">
        <f t="shared" si="3"/>
        <v/>
      </c>
      <c r="K42" s="43"/>
    </row>
    <row r="43" ht="15.75" customHeight="1">
      <c r="D43" s="43"/>
      <c r="H43" s="48" t="str">
        <f t="shared" si="1"/>
        <v/>
      </c>
      <c r="I43" s="48" t="str">
        <f t="shared" si="2"/>
        <v/>
      </c>
      <c r="J43" s="49" t="str">
        <f t="shared" si="3"/>
        <v/>
      </c>
      <c r="K43" s="43"/>
    </row>
    <row r="44" ht="15.75" customHeight="1">
      <c r="D44" s="43"/>
      <c r="H44" s="48" t="str">
        <f t="shared" si="1"/>
        <v/>
      </c>
      <c r="I44" s="48" t="str">
        <f t="shared" si="2"/>
        <v/>
      </c>
      <c r="J44" s="49" t="str">
        <f t="shared" si="3"/>
        <v/>
      </c>
      <c r="K44" s="43"/>
    </row>
    <row r="45" ht="15.75" customHeight="1">
      <c r="D45" s="43"/>
      <c r="H45" s="48" t="str">
        <f t="shared" si="1"/>
        <v/>
      </c>
      <c r="I45" s="48" t="str">
        <f t="shared" si="2"/>
        <v/>
      </c>
      <c r="J45" s="49" t="str">
        <f t="shared" si="3"/>
        <v/>
      </c>
      <c r="K45" s="43"/>
    </row>
    <row r="46" ht="15.75" customHeight="1">
      <c r="D46" s="43"/>
      <c r="H46" s="48" t="str">
        <f t="shared" si="1"/>
        <v/>
      </c>
      <c r="I46" s="48" t="str">
        <f t="shared" si="2"/>
        <v/>
      </c>
      <c r="J46" s="49" t="str">
        <f t="shared" si="3"/>
        <v/>
      </c>
      <c r="K46" s="43"/>
    </row>
    <row r="47" ht="15.75" customHeight="1">
      <c r="D47" s="43"/>
      <c r="H47" s="48" t="str">
        <f t="shared" si="1"/>
        <v/>
      </c>
      <c r="I47" s="48" t="str">
        <f t="shared" si="2"/>
        <v/>
      </c>
      <c r="J47" s="49" t="str">
        <f t="shared" si="3"/>
        <v/>
      </c>
      <c r="K47" s="43"/>
    </row>
    <row r="48" ht="15.75" customHeight="1">
      <c r="D48" s="43"/>
      <c r="H48" s="48" t="str">
        <f t="shared" si="1"/>
        <v/>
      </c>
      <c r="I48" s="48" t="str">
        <f t="shared" si="2"/>
        <v/>
      </c>
      <c r="J48" s="49" t="str">
        <f t="shared" si="3"/>
        <v/>
      </c>
      <c r="K48" s="43"/>
    </row>
    <row r="49" ht="15.75" customHeight="1">
      <c r="D49" s="43"/>
      <c r="H49" s="48" t="str">
        <f t="shared" si="1"/>
        <v/>
      </c>
      <c r="I49" s="48" t="str">
        <f t="shared" si="2"/>
        <v/>
      </c>
      <c r="J49" s="49" t="str">
        <f t="shared" si="3"/>
        <v/>
      </c>
      <c r="K49" s="43"/>
    </row>
    <row r="50" ht="15.75" customHeight="1">
      <c r="D50" s="43"/>
      <c r="H50" s="48" t="str">
        <f t="shared" si="1"/>
        <v/>
      </c>
      <c r="I50" s="48" t="str">
        <f t="shared" si="2"/>
        <v/>
      </c>
      <c r="J50" s="49" t="str">
        <f t="shared" si="3"/>
        <v/>
      </c>
      <c r="K50" s="43"/>
    </row>
    <row r="51" ht="15.75" customHeight="1">
      <c r="D51" s="43"/>
      <c r="H51" s="48" t="str">
        <f t="shared" si="1"/>
        <v/>
      </c>
      <c r="I51" s="48" t="str">
        <f t="shared" si="2"/>
        <v/>
      </c>
      <c r="J51" s="49" t="str">
        <f t="shared" si="3"/>
        <v/>
      </c>
      <c r="K51" s="43"/>
    </row>
    <row r="52" ht="15.75" customHeight="1">
      <c r="D52" s="43"/>
      <c r="H52" s="48" t="str">
        <f t="shared" si="1"/>
        <v/>
      </c>
      <c r="I52" s="48" t="str">
        <f t="shared" si="2"/>
        <v/>
      </c>
      <c r="J52" s="49" t="str">
        <f t="shared" si="3"/>
        <v/>
      </c>
      <c r="K52" s="43"/>
    </row>
    <row r="53" ht="15.75" customHeight="1">
      <c r="D53" s="43"/>
      <c r="H53" s="48" t="str">
        <f t="shared" si="1"/>
        <v/>
      </c>
      <c r="I53" s="48" t="str">
        <f t="shared" si="2"/>
        <v/>
      </c>
      <c r="J53" s="49" t="str">
        <f t="shared" si="3"/>
        <v/>
      </c>
      <c r="K53" s="43"/>
    </row>
    <row r="54" ht="15.75" customHeight="1">
      <c r="D54" s="43"/>
      <c r="H54" s="48" t="str">
        <f t="shared" si="1"/>
        <v/>
      </c>
      <c r="I54" s="48" t="str">
        <f t="shared" si="2"/>
        <v/>
      </c>
      <c r="J54" s="49" t="str">
        <f t="shared" si="3"/>
        <v/>
      </c>
      <c r="K54" s="43"/>
    </row>
    <row r="55" ht="15.75" customHeight="1">
      <c r="D55" s="43"/>
      <c r="H55" s="48" t="str">
        <f t="shared" si="1"/>
        <v/>
      </c>
      <c r="I55" s="48" t="str">
        <f t="shared" si="2"/>
        <v/>
      </c>
      <c r="J55" s="49" t="str">
        <f t="shared" si="3"/>
        <v/>
      </c>
      <c r="K55" s="43"/>
    </row>
    <row r="56" ht="15.75" customHeight="1">
      <c r="D56" s="43"/>
      <c r="H56" s="48" t="str">
        <f t="shared" si="1"/>
        <v/>
      </c>
      <c r="I56" s="48" t="str">
        <f t="shared" si="2"/>
        <v/>
      </c>
      <c r="J56" s="49" t="str">
        <f t="shared" si="3"/>
        <v/>
      </c>
      <c r="K56" s="43"/>
    </row>
    <row r="57" ht="15.75" customHeight="1">
      <c r="D57" s="43"/>
      <c r="H57" s="48" t="str">
        <f t="shared" si="1"/>
        <v/>
      </c>
      <c r="I57" s="48" t="str">
        <f t="shared" si="2"/>
        <v/>
      </c>
      <c r="J57" s="49" t="str">
        <f t="shared" si="3"/>
        <v/>
      </c>
      <c r="K57" s="43"/>
    </row>
    <row r="58" ht="15.75" customHeight="1">
      <c r="D58" s="43"/>
      <c r="H58" s="48" t="str">
        <f t="shared" si="1"/>
        <v/>
      </c>
      <c r="I58" s="48" t="str">
        <f t="shared" si="2"/>
        <v/>
      </c>
      <c r="J58" s="49" t="str">
        <f t="shared" si="3"/>
        <v/>
      </c>
      <c r="K58" s="43"/>
    </row>
    <row r="59" ht="15.75" customHeight="1">
      <c r="D59" s="43"/>
      <c r="H59" s="48" t="str">
        <f t="shared" si="1"/>
        <v/>
      </c>
      <c r="I59" s="48" t="str">
        <f t="shared" si="2"/>
        <v/>
      </c>
      <c r="J59" s="49" t="str">
        <f t="shared" si="3"/>
        <v/>
      </c>
      <c r="K59" s="43"/>
    </row>
    <row r="60" ht="15.75" customHeight="1">
      <c r="D60" s="43"/>
      <c r="H60" s="48" t="str">
        <f t="shared" si="1"/>
        <v/>
      </c>
      <c r="I60" s="48" t="str">
        <f t="shared" si="2"/>
        <v/>
      </c>
      <c r="J60" s="49" t="str">
        <f t="shared" si="3"/>
        <v/>
      </c>
      <c r="K60" s="43"/>
    </row>
    <row r="61" ht="15.75" customHeight="1">
      <c r="D61" s="43"/>
      <c r="H61" s="48" t="str">
        <f t="shared" si="1"/>
        <v/>
      </c>
      <c r="I61" s="48" t="str">
        <f t="shared" si="2"/>
        <v/>
      </c>
      <c r="J61" s="49" t="str">
        <f t="shared" si="3"/>
        <v/>
      </c>
      <c r="K61" s="43"/>
    </row>
    <row r="62" ht="15.75" customHeight="1">
      <c r="D62" s="43"/>
      <c r="H62" s="48" t="str">
        <f t="shared" si="1"/>
        <v/>
      </c>
      <c r="I62" s="48" t="str">
        <f t="shared" si="2"/>
        <v/>
      </c>
      <c r="J62" s="49" t="str">
        <f t="shared" si="3"/>
        <v/>
      </c>
      <c r="K62" s="43"/>
    </row>
    <row r="63" ht="15.75" customHeight="1">
      <c r="D63" s="43"/>
      <c r="H63" s="48" t="str">
        <f t="shared" si="1"/>
        <v/>
      </c>
      <c r="I63" s="48" t="str">
        <f t="shared" si="2"/>
        <v/>
      </c>
      <c r="J63" s="49" t="str">
        <f t="shared" si="3"/>
        <v/>
      </c>
      <c r="K63" s="43"/>
    </row>
    <row r="64" ht="15.75" customHeight="1">
      <c r="D64" s="43"/>
      <c r="H64" s="48" t="str">
        <f t="shared" si="1"/>
        <v/>
      </c>
      <c r="I64" s="48" t="str">
        <f t="shared" si="2"/>
        <v/>
      </c>
      <c r="J64" s="49" t="str">
        <f t="shared" si="3"/>
        <v/>
      </c>
      <c r="K64" s="43"/>
    </row>
    <row r="65" ht="15.75" customHeight="1">
      <c r="D65" s="43"/>
      <c r="H65" s="48" t="str">
        <f t="shared" si="1"/>
        <v/>
      </c>
      <c r="I65" s="48" t="str">
        <f t="shared" si="2"/>
        <v/>
      </c>
      <c r="J65" s="49" t="str">
        <f t="shared" si="3"/>
        <v/>
      </c>
      <c r="K65" s="43"/>
    </row>
    <row r="66" ht="15.75" customHeight="1">
      <c r="D66" s="43"/>
      <c r="H66" s="48" t="str">
        <f t="shared" si="1"/>
        <v/>
      </c>
      <c r="I66" s="48" t="str">
        <f t="shared" si="2"/>
        <v/>
      </c>
      <c r="J66" s="49" t="str">
        <f t="shared" si="3"/>
        <v/>
      </c>
      <c r="K66" s="43"/>
    </row>
    <row r="67" ht="15.75" customHeight="1">
      <c r="D67" s="43"/>
      <c r="H67" s="48" t="str">
        <f t="shared" si="1"/>
        <v/>
      </c>
      <c r="I67" s="48" t="str">
        <f t="shared" si="2"/>
        <v/>
      </c>
      <c r="J67" s="49" t="str">
        <f t="shared" si="3"/>
        <v/>
      </c>
      <c r="K67" s="43"/>
    </row>
    <row r="68" ht="15.75" customHeight="1">
      <c r="D68" s="43"/>
      <c r="H68" s="48" t="str">
        <f t="shared" si="1"/>
        <v/>
      </c>
      <c r="I68" s="48" t="str">
        <f t="shared" si="2"/>
        <v/>
      </c>
      <c r="J68" s="49" t="str">
        <f t="shared" si="3"/>
        <v/>
      </c>
      <c r="K68" s="43"/>
    </row>
    <row r="69" ht="15.75" customHeight="1">
      <c r="D69" s="43"/>
      <c r="H69" s="48" t="str">
        <f t="shared" si="1"/>
        <v/>
      </c>
      <c r="I69" s="48" t="str">
        <f t="shared" si="2"/>
        <v/>
      </c>
      <c r="J69" s="49" t="str">
        <f t="shared" si="3"/>
        <v/>
      </c>
      <c r="K69" s="43"/>
    </row>
    <row r="70" ht="15.75" customHeight="1">
      <c r="D70" s="43"/>
      <c r="H70" s="48" t="str">
        <f t="shared" si="1"/>
        <v/>
      </c>
      <c r="I70" s="48" t="str">
        <f t="shared" si="2"/>
        <v/>
      </c>
      <c r="J70" s="49" t="str">
        <f t="shared" si="3"/>
        <v/>
      </c>
      <c r="K70" s="43"/>
    </row>
    <row r="71" ht="15.75" customHeight="1">
      <c r="D71" s="43"/>
      <c r="H71" s="48" t="str">
        <f t="shared" si="1"/>
        <v/>
      </c>
      <c r="I71" s="48" t="str">
        <f t="shared" si="2"/>
        <v/>
      </c>
      <c r="J71" s="49" t="str">
        <f t="shared" si="3"/>
        <v/>
      </c>
      <c r="K71" s="43"/>
    </row>
    <row r="72" ht="15.75" customHeight="1">
      <c r="D72" s="43"/>
      <c r="H72" s="48" t="str">
        <f t="shared" si="1"/>
        <v/>
      </c>
      <c r="I72" s="48" t="str">
        <f t="shared" si="2"/>
        <v/>
      </c>
      <c r="J72" s="49" t="str">
        <f t="shared" si="3"/>
        <v/>
      </c>
      <c r="K72" s="43"/>
    </row>
    <row r="73" ht="15.75" customHeight="1">
      <c r="D73" s="43"/>
      <c r="H73" s="48" t="str">
        <f t="shared" si="1"/>
        <v/>
      </c>
      <c r="I73" s="48" t="str">
        <f t="shared" si="2"/>
        <v/>
      </c>
      <c r="J73" s="49" t="str">
        <f t="shared" si="3"/>
        <v/>
      </c>
      <c r="K73" s="43"/>
    </row>
    <row r="74" ht="15.75" customHeight="1">
      <c r="D74" s="43"/>
      <c r="H74" s="48" t="str">
        <f t="shared" si="1"/>
        <v/>
      </c>
      <c r="I74" s="48" t="str">
        <f t="shared" si="2"/>
        <v/>
      </c>
      <c r="J74" s="49" t="str">
        <f t="shared" si="3"/>
        <v/>
      </c>
      <c r="K74" s="43"/>
    </row>
    <row r="75" ht="15.75" customHeight="1">
      <c r="D75" s="43"/>
      <c r="H75" s="48" t="str">
        <f t="shared" si="1"/>
        <v/>
      </c>
      <c r="I75" s="48" t="str">
        <f t="shared" si="2"/>
        <v/>
      </c>
      <c r="J75" s="49" t="str">
        <f t="shared" si="3"/>
        <v/>
      </c>
      <c r="K75" s="43"/>
    </row>
    <row r="76" ht="15.75" customHeight="1">
      <c r="D76" s="43"/>
      <c r="H76" s="48" t="str">
        <f t="shared" si="1"/>
        <v/>
      </c>
      <c r="I76" s="48" t="str">
        <f t="shared" si="2"/>
        <v/>
      </c>
      <c r="J76" s="49" t="str">
        <f t="shared" si="3"/>
        <v/>
      </c>
      <c r="K76" s="43"/>
    </row>
    <row r="77" ht="15.75" customHeight="1">
      <c r="D77" s="43"/>
      <c r="H77" s="48" t="str">
        <f t="shared" si="1"/>
        <v/>
      </c>
      <c r="I77" s="48" t="str">
        <f t="shared" si="2"/>
        <v/>
      </c>
      <c r="J77" s="49" t="str">
        <f t="shared" si="3"/>
        <v/>
      </c>
      <c r="K77" s="43"/>
    </row>
    <row r="78" ht="15.75" customHeight="1">
      <c r="D78" s="43"/>
      <c r="H78" s="48" t="str">
        <f t="shared" si="1"/>
        <v/>
      </c>
      <c r="I78" s="48" t="str">
        <f t="shared" si="2"/>
        <v/>
      </c>
      <c r="J78" s="49" t="str">
        <f t="shared" si="3"/>
        <v/>
      </c>
      <c r="K78" s="43"/>
    </row>
    <row r="79" ht="15.75" customHeight="1">
      <c r="D79" s="43"/>
      <c r="H79" s="48" t="str">
        <f t="shared" si="1"/>
        <v/>
      </c>
      <c r="I79" s="48" t="str">
        <f t="shared" si="2"/>
        <v/>
      </c>
      <c r="J79" s="49" t="str">
        <f t="shared" si="3"/>
        <v/>
      </c>
      <c r="K79" s="43"/>
    </row>
    <row r="80" ht="15.75" customHeight="1">
      <c r="D80" s="43"/>
      <c r="H80" s="48" t="str">
        <f t="shared" si="1"/>
        <v/>
      </c>
      <c r="I80" s="48" t="str">
        <f t="shared" si="2"/>
        <v/>
      </c>
      <c r="J80" s="49" t="str">
        <f t="shared" si="3"/>
        <v/>
      </c>
      <c r="K80" s="43"/>
    </row>
    <row r="81" ht="15.75" customHeight="1">
      <c r="D81" s="43"/>
      <c r="H81" s="48" t="str">
        <f t="shared" si="1"/>
        <v/>
      </c>
      <c r="I81" s="48" t="str">
        <f t="shared" si="2"/>
        <v/>
      </c>
      <c r="J81" s="49" t="str">
        <f t="shared" si="3"/>
        <v/>
      </c>
      <c r="K81" s="43"/>
    </row>
    <row r="82" ht="15.75" customHeight="1">
      <c r="D82" s="43"/>
      <c r="H82" s="48" t="str">
        <f t="shared" si="1"/>
        <v/>
      </c>
      <c r="I82" s="48" t="str">
        <f t="shared" si="2"/>
        <v/>
      </c>
      <c r="J82" s="49" t="str">
        <f t="shared" si="3"/>
        <v/>
      </c>
      <c r="K82" s="43"/>
    </row>
    <row r="83" ht="15.75" customHeight="1">
      <c r="D83" s="43"/>
      <c r="H83" s="48" t="str">
        <f t="shared" si="1"/>
        <v/>
      </c>
      <c r="I83" s="48" t="str">
        <f t="shared" si="2"/>
        <v/>
      </c>
      <c r="J83" s="49" t="str">
        <f t="shared" si="3"/>
        <v/>
      </c>
      <c r="K83" s="43"/>
    </row>
    <row r="84" ht="15.75" customHeight="1">
      <c r="D84" s="43"/>
      <c r="H84" s="48" t="str">
        <f t="shared" si="1"/>
        <v/>
      </c>
      <c r="I84" s="48" t="str">
        <f t="shared" si="2"/>
        <v/>
      </c>
      <c r="J84" s="49" t="str">
        <f t="shared" si="3"/>
        <v/>
      </c>
      <c r="K84" s="43"/>
    </row>
    <row r="85" ht="15.75" customHeight="1">
      <c r="D85" s="43"/>
      <c r="H85" s="48" t="str">
        <f t="shared" si="1"/>
        <v/>
      </c>
      <c r="I85" s="48" t="str">
        <f t="shared" si="2"/>
        <v/>
      </c>
      <c r="J85" s="49" t="str">
        <f t="shared" si="3"/>
        <v/>
      </c>
      <c r="K85" s="43"/>
    </row>
    <row r="86" ht="15.75" customHeight="1">
      <c r="D86" s="43"/>
      <c r="H86" s="48" t="str">
        <f t="shared" si="1"/>
        <v/>
      </c>
      <c r="I86" s="48" t="str">
        <f t="shared" si="2"/>
        <v/>
      </c>
      <c r="J86" s="49" t="str">
        <f t="shared" si="3"/>
        <v/>
      </c>
      <c r="K86" s="43"/>
    </row>
    <row r="87" ht="15.75" customHeight="1">
      <c r="D87" s="43"/>
      <c r="H87" s="48" t="str">
        <f t="shared" si="1"/>
        <v/>
      </c>
      <c r="I87" s="48" t="str">
        <f t="shared" si="2"/>
        <v/>
      </c>
      <c r="J87" s="49" t="str">
        <f t="shared" si="3"/>
        <v/>
      </c>
      <c r="K87" s="43"/>
    </row>
    <row r="88" ht="15.75" customHeight="1">
      <c r="D88" s="43"/>
      <c r="H88" s="48" t="str">
        <f t="shared" si="1"/>
        <v/>
      </c>
      <c r="I88" s="48" t="str">
        <f t="shared" si="2"/>
        <v/>
      </c>
      <c r="J88" s="49" t="str">
        <f t="shared" si="3"/>
        <v/>
      </c>
      <c r="K88" s="43"/>
    </row>
    <row r="89" ht="15.75" customHeight="1">
      <c r="D89" s="43"/>
      <c r="H89" s="48" t="str">
        <f t="shared" si="1"/>
        <v/>
      </c>
      <c r="I89" s="48" t="str">
        <f t="shared" si="2"/>
        <v/>
      </c>
      <c r="J89" s="49" t="str">
        <f t="shared" si="3"/>
        <v/>
      </c>
      <c r="K89" s="43"/>
    </row>
    <row r="90" ht="15.75" customHeight="1">
      <c r="D90" s="43"/>
      <c r="H90" s="48" t="str">
        <f t="shared" si="1"/>
        <v/>
      </c>
      <c r="I90" s="48" t="str">
        <f t="shared" si="2"/>
        <v/>
      </c>
      <c r="J90" s="49" t="str">
        <f t="shared" si="3"/>
        <v/>
      </c>
      <c r="K90" s="43"/>
    </row>
    <row r="91" ht="15.75" customHeight="1">
      <c r="D91" s="43"/>
      <c r="H91" s="48" t="str">
        <f t="shared" si="1"/>
        <v/>
      </c>
      <c r="I91" s="48" t="str">
        <f t="shared" si="2"/>
        <v/>
      </c>
      <c r="J91" s="49" t="str">
        <f t="shared" si="3"/>
        <v/>
      </c>
      <c r="K91" s="43"/>
    </row>
    <row r="92" ht="15.75" customHeight="1">
      <c r="D92" s="43"/>
      <c r="H92" s="48" t="str">
        <f t="shared" si="1"/>
        <v/>
      </c>
      <c r="I92" s="48" t="str">
        <f t="shared" si="2"/>
        <v/>
      </c>
      <c r="J92" s="49" t="str">
        <f t="shared" si="3"/>
        <v/>
      </c>
      <c r="K92" s="43"/>
    </row>
    <row r="93" ht="15.75" customHeight="1">
      <c r="D93" s="43"/>
      <c r="H93" s="48" t="str">
        <f t="shared" si="1"/>
        <v/>
      </c>
      <c r="I93" s="48" t="str">
        <f t="shared" si="2"/>
        <v/>
      </c>
      <c r="J93" s="49" t="str">
        <f t="shared" si="3"/>
        <v/>
      </c>
      <c r="K93" s="43"/>
    </row>
    <row r="94" ht="15.75" customHeight="1">
      <c r="D94" s="43"/>
      <c r="H94" s="48" t="str">
        <f t="shared" si="1"/>
        <v/>
      </c>
      <c r="I94" s="48" t="str">
        <f t="shared" si="2"/>
        <v/>
      </c>
      <c r="J94" s="49" t="str">
        <f t="shared" si="3"/>
        <v/>
      </c>
      <c r="K94" s="43"/>
    </row>
    <row r="95" ht="15.75" customHeight="1">
      <c r="D95" s="43"/>
      <c r="H95" s="48" t="str">
        <f t="shared" si="1"/>
        <v/>
      </c>
      <c r="I95" s="48" t="str">
        <f t="shared" si="2"/>
        <v/>
      </c>
      <c r="J95" s="49" t="str">
        <f t="shared" si="3"/>
        <v/>
      </c>
      <c r="K95" s="43"/>
    </row>
    <row r="96" ht="15.75" customHeight="1">
      <c r="D96" s="43"/>
      <c r="H96" s="48" t="str">
        <f t="shared" si="1"/>
        <v/>
      </c>
      <c r="I96" s="48" t="str">
        <f t="shared" si="2"/>
        <v/>
      </c>
      <c r="J96" s="49" t="str">
        <f t="shared" si="3"/>
        <v/>
      </c>
      <c r="K96" s="43"/>
    </row>
    <row r="97" ht="15.75" customHeight="1">
      <c r="D97" s="43"/>
      <c r="H97" s="48" t="str">
        <f t="shared" si="1"/>
        <v/>
      </c>
      <c r="I97" s="48" t="str">
        <f t="shared" si="2"/>
        <v/>
      </c>
      <c r="J97" s="49" t="str">
        <f t="shared" si="3"/>
        <v/>
      </c>
      <c r="K97" s="43"/>
    </row>
    <row r="98" ht="15.75" customHeight="1">
      <c r="D98" s="43"/>
      <c r="H98" s="48" t="str">
        <f t="shared" si="1"/>
        <v/>
      </c>
      <c r="I98" s="48" t="str">
        <f t="shared" si="2"/>
        <v/>
      </c>
      <c r="J98" s="49" t="str">
        <f t="shared" si="3"/>
        <v/>
      </c>
      <c r="K98" s="43"/>
    </row>
    <row r="99" ht="15.75" customHeight="1">
      <c r="D99" s="43"/>
      <c r="H99" s="48" t="str">
        <f t="shared" si="1"/>
        <v/>
      </c>
      <c r="I99" s="48" t="str">
        <f t="shared" si="2"/>
        <v/>
      </c>
      <c r="J99" s="49" t="str">
        <f t="shared" si="3"/>
        <v/>
      </c>
      <c r="K99" s="43"/>
    </row>
    <row r="100" ht="15.75" customHeight="1">
      <c r="D100" s="43"/>
      <c r="H100" s="48" t="str">
        <f t="shared" si="1"/>
        <v/>
      </c>
      <c r="I100" s="48" t="str">
        <f t="shared" si="2"/>
        <v/>
      </c>
      <c r="J100" s="49" t="str">
        <f t="shared" si="3"/>
        <v/>
      </c>
      <c r="K100" s="43"/>
    </row>
    <row r="101" ht="15.75" customHeight="1">
      <c r="D101" s="43"/>
      <c r="H101" s="48" t="str">
        <f t="shared" si="1"/>
        <v/>
      </c>
      <c r="I101" s="48" t="str">
        <f t="shared" si="2"/>
        <v/>
      </c>
      <c r="J101" s="49" t="str">
        <f t="shared" si="3"/>
        <v/>
      </c>
      <c r="K101" s="43"/>
    </row>
    <row r="102" ht="15.75" customHeight="1">
      <c r="D102" s="43"/>
      <c r="H102" s="48" t="str">
        <f t="shared" si="1"/>
        <v/>
      </c>
      <c r="I102" s="48" t="str">
        <f t="shared" si="2"/>
        <v/>
      </c>
      <c r="J102" s="49" t="str">
        <f t="shared" si="3"/>
        <v/>
      </c>
      <c r="K102" s="43"/>
    </row>
    <row r="103" ht="15.75" customHeight="1">
      <c r="D103" s="43"/>
      <c r="H103" s="48" t="str">
        <f t="shared" si="1"/>
        <v/>
      </c>
      <c r="I103" s="48" t="str">
        <f t="shared" si="2"/>
        <v/>
      </c>
      <c r="J103" s="49" t="str">
        <f t="shared" si="3"/>
        <v/>
      </c>
      <c r="K103" s="43"/>
    </row>
    <row r="104" ht="15.75" customHeight="1">
      <c r="D104" s="43"/>
      <c r="H104" s="48" t="str">
        <f t="shared" si="1"/>
        <v/>
      </c>
      <c r="I104" s="48" t="str">
        <f t="shared" si="2"/>
        <v/>
      </c>
      <c r="J104" s="49" t="str">
        <f t="shared" si="3"/>
        <v/>
      </c>
      <c r="K104" s="43"/>
    </row>
    <row r="105" ht="15.75" customHeight="1">
      <c r="D105" s="43"/>
      <c r="H105" s="48" t="str">
        <f t="shared" si="1"/>
        <v/>
      </c>
      <c r="I105" s="48" t="str">
        <f t="shared" si="2"/>
        <v/>
      </c>
      <c r="J105" s="49" t="str">
        <f t="shared" si="3"/>
        <v/>
      </c>
      <c r="K105" s="43"/>
    </row>
    <row r="106" ht="15.75" customHeight="1">
      <c r="D106" s="43"/>
      <c r="H106" s="48" t="str">
        <f t="shared" si="1"/>
        <v/>
      </c>
      <c r="I106" s="48" t="str">
        <f t="shared" si="2"/>
        <v/>
      </c>
      <c r="J106" s="49" t="str">
        <f t="shared" si="3"/>
        <v/>
      </c>
      <c r="K106" s="43"/>
    </row>
    <row r="107" ht="15.75" customHeight="1">
      <c r="D107" s="43"/>
      <c r="H107" s="48" t="str">
        <f t="shared" si="1"/>
        <v/>
      </c>
      <c r="I107" s="48" t="str">
        <f t="shared" si="2"/>
        <v/>
      </c>
      <c r="J107" s="49" t="str">
        <f t="shared" si="3"/>
        <v/>
      </c>
      <c r="K107" s="43"/>
    </row>
    <row r="108" ht="15.75" customHeight="1">
      <c r="D108" s="43"/>
      <c r="H108" s="48" t="str">
        <f t="shared" si="1"/>
        <v/>
      </c>
      <c r="I108" s="48" t="str">
        <f t="shared" si="2"/>
        <v/>
      </c>
      <c r="J108" s="49" t="str">
        <f t="shared" si="3"/>
        <v/>
      </c>
      <c r="K108" s="43"/>
    </row>
    <row r="109" ht="15.75" customHeight="1">
      <c r="D109" s="43"/>
      <c r="H109" s="48" t="str">
        <f t="shared" si="1"/>
        <v/>
      </c>
      <c r="I109" s="48" t="str">
        <f t="shared" si="2"/>
        <v/>
      </c>
      <c r="J109" s="49" t="str">
        <f t="shared" si="3"/>
        <v/>
      </c>
      <c r="K109" s="43"/>
    </row>
    <row r="110" ht="15.75" customHeight="1">
      <c r="D110" s="43"/>
      <c r="H110" s="48" t="str">
        <f t="shared" si="1"/>
        <v/>
      </c>
      <c r="I110" s="48" t="str">
        <f t="shared" si="2"/>
        <v/>
      </c>
      <c r="J110" s="49" t="str">
        <f t="shared" si="3"/>
        <v/>
      </c>
      <c r="K110" s="43"/>
    </row>
    <row r="111" ht="15.75" customHeight="1">
      <c r="D111" s="43"/>
      <c r="H111" s="48" t="str">
        <f t="shared" si="1"/>
        <v/>
      </c>
      <c r="I111" s="48" t="str">
        <f t="shared" si="2"/>
        <v/>
      </c>
      <c r="J111" s="49" t="str">
        <f t="shared" si="3"/>
        <v/>
      </c>
      <c r="K111" s="43"/>
    </row>
    <row r="112" ht="15.75" customHeight="1">
      <c r="D112" s="43"/>
      <c r="H112" s="48" t="str">
        <f t="shared" si="1"/>
        <v/>
      </c>
      <c r="I112" s="48" t="str">
        <f t="shared" si="2"/>
        <v/>
      </c>
      <c r="J112" s="49" t="str">
        <f t="shared" si="3"/>
        <v/>
      </c>
      <c r="K112" s="43"/>
    </row>
    <row r="113" ht="15.75" customHeight="1">
      <c r="D113" s="43"/>
      <c r="H113" s="48" t="str">
        <f t="shared" si="1"/>
        <v/>
      </c>
      <c r="I113" s="48" t="str">
        <f t="shared" si="2"/>
        <v/>
      </c>
      <c r="J113" s="49" t="str">
        <f t="shared" si="3"/>
        <v/>
      </c>
      <c r="K113" s="43"/>
    </row>
    <row r="114" ht="15.75" customHeight="1">
      <c r="D114" s="43"/>
      <c r="H114" s="48" t="str">
        <f t="shared" si="1"/>
        <v/>
      </c>
      <c r="I114" s="48" t="str">
        <f t="shared" si="2"/>
        <v/>
      </c>
      <c r="J114" s="49" t="str">
        <f t="shared" si="3"/>
        <v/>
      </c>
      <c r="K114" s="43"/>
    </row>
    <row r="115" ht="15.75" customHeight="1">
      <c r="D115" s="43"/>
      <c r="H115" s="48" t="str">
        <f t="shared" si="1"/>
        <v/>
      </c>
      <c r="I115" s="48" t="str">
        <f t="shared" si="2"/>
        <v/>
      </c>
      <c r="J115" s="49" t="str">
        <f t="shared" si="3"/>
        <v/>
      </c>
      <c r="K115" s="43"/>
    </row>
    <row r="116" ht="15.75" customHeight="1">
      <c r="D116" s="43"/>
      <c r="H116" s="48" t="str">
        <f t="shared" si="1"/>
        <v/>
      </c>
      <c r="I116" s="48" t="str">
        <f t="shared" si="2"/>
        <v/>
      </c>
      <c r="J116" s="49" t="str">
        <f t="shared" si="3"/>
        <v/>
      </c>
      <c r="K116" s="43"/>
    </row>
    <row r="117" ht="15.75" customHeight="1">
      <c r="D117" s="43"/>
      <c r="H117" s="48" t="str">
        <f t="shared" si="1"/>
        <v/>
      </c>
      <c r="I117" s="48" t="str">
        <f t="shared" si="2"/>
        <v/>
      </c>
      <c r="J117" s="49" t="str">
        <f t="shared" si="3"/>
        <v/>
      </c>
      <c r="K117" s="43"/>
    </row>
    <row r="118" ht="15.75" customHeight="1">
      <c r="D118" s="43"/>
      <c r="H118" s="48" t="str">
        <f t="shared" si="1"/>
        <v/>
      </c>
      <c r="I118" s="48" t="str">
        <f t="shared" si="2"/>
        <v/>
      </c>
      <c r="J118" s="49" t="str">
        <f t="shared" si="3"/>
        <v/>
      </c>
      <c r="K118" s="43"/>
    </row>
    <row r="119" ht="15.75" customHeight="1">
      <c r="D119" s="43"/>
      <c r="H119" s="48" t="str">
        <f t="shared" si="1"/>
        <v/>
      </c>
      <c r="I119" s="48" t="str">
        <f t="shared" si="2"/>
        <v/>
      </c>
      <c r="J119" s="49" t="str">
        <f t="shared" si="3"/>
        <v/>
      </c>
      <c r="K119" s="43"/>
    </row>
    <row r="120" ht="15.75" customHeight="1">
      <c r="D120" s="43"/>
      <c r="H120" s="48" t="str">
        <f t="shared" si="1"/>
        <v/>
      </c>
      <c r="I120" s="48" t="str">
        <f t="shared" si="2"/>
        <v/>
      </c>
      <c r="J120" s="49" t="str">
        <f t="shared" si="3"/>
        <v/>
      </c>
      <c r="K120" s="43"/>
    </row>
    <row r="121" ht="15.75" customHeight="1">
      <c r="D121" s="43"/>
      <c r="H121" s="48" t="str">
        <f t="shared" si="1"/>
        <v/>
      </c>
      <c r="I121" s="48" t="str">
        <f t="shared" si="2"/>
        <v/>
      </c>
      <c r="J121" s="49" t="str">
        <f t="shared" si="3"/>
        <v/>
      </c>
      <c r="K121" s="43"/>
    </row>
    <row r="122" ht="15.75" customHeight="1">
      <c r="D122" s="43"/>
      <c r="H122" s="48" t="str">
        <f t="shared" si="1"/>
        <v/>
      </c>
      <c r="I122" s="48" t="str">
        <f t="shared" si="2"/>
        <v/>
      </c>
      <c r="J122" s="49" t="str">
        <f t="shared" si="3"/>
        <v/>
      </c>
      <c r="K122" s="43"/>
    </row>
    <row r="123" ht="15.75" customHeight="1">
      <c r="D123" s="43"/>
      <c r="H123" s="48" t="str">
        <f t="shared" si="1"/>
        <v/>
      </c>
      <c r="I123" s="48" t="str">
        <f t="shared" si="2"/>
        <v/>
      </c>
      <c r="J123" s="49" t="str">
        <f t="shared" si="3"/>
        <v/>
      </c>
      <c r="K123" s="43"/>
    </row>
    <row r="124" ht="15.75" customHeight="1">
      <c r="D124" s="43"/>
      <c r="H124" s="48" t="str">
        <f t="shared" si="1"/>
        <v/>
      </c>
      <c r="I124" s="48" t="str">
        <f t="shared" si="2"/>
        <v/>
      </c>
      <c r="J124" s="49" t="str">
        <f t="shared" si="3"/>
        <v/>
      </c>
      <c r="K124" s="43"/>
    </row>
    <row r="125" ht="15.75" customHeight="1">
      <c r="D125" s="43"/>
      <c r="H125" s="48" t="str">
        <f t="shared" si="1"/>
        <v/>
      </c>
      <c r="I125" s="48" t="str">
        <f t="shared" si="2"/>
        <v/>
      </c>
      <c r="J125" s="49" t="str">
        <f t="shared" si="3"/>
        <v/>
      </c>
      <c r="K125" s="43"/>
    </row>
    <row r="126" ht="15.75" customHeight="1">
      <c r="D126" s="43"/>
      <c r="H126" s="48" t="str">
        <f t="shared" si="1"/>
        <v/>
      </c>
      <c r="I126" s="48" t="str">
        <f t="shared" si="2"/>
        <v/>
      </c>
      <c r="J126" s="49" t="str">
        <f t="shared" si="3"/>
        <v/>
      </c>
      <c r="K126" s="43"/>
    </row>
    <row r="127" ht="15.75" customHeight="1">
      <c r="D127" s="43"/>
      <c r="H127" s="48" t="str">
        <f t="shared" si="1"/>
        <v/>
      </c>
      <c r="I127" s="48" t="str">
        <f t="shared" si="2"/>
        <v/>
      </c>
      <c r="J127" s="49" t="str">
        <f t="shared" si="3"/>
        <v/>
      </c>
      <c r="K127" s="43"/>
    </row>
    <row r="128" ht="15.75" customHeight="1">
      <c r="D128" s="43"/>
      <c r="H128" s="48" t="str">
        <f t="shared" si="1"/>
        <v/>
      </c>
      <c r="I128" s="48" t="str">
        <f t="shared" si="2"/>
        <v/>
      </c>
      <c r="J128" s="49" t="str">
        <f t="shared" si="3"/>
        <v/>
      </c>
      <c r="K128" s="43"/>
    </row>
    <row r="129" ht="15.75" customHeight="1">
      <c r="D129" s="43"/>
      <c r="H129" s="48" t="str">
        <f t="shared" si="1"/>
        <v/>
      </c>
      <c r="I129" s="48" t="str">
        <f t="shared" si="2"/>
        <v/>
      </c>
      <c r="J129" s="49" t="str">
        <f t="shared" si="3"/>
        <v/>
      </c>
      <c r="K129" s="43"/>
    </row>
    <row r="130" ht="15.75" customHeight="1">
      <c r="D130" s="43"/>
      <c r="H130" s="48" t="str">
        <f t="shared" si="1"/>
        <v/>
      </c>
      <c r="I130" s="48" t="str">
        <f t="shared" si="2"/>
        <v/>
      </c>
      <c r="J130" s="49" t="str">
        <f t="shared" si="3"/>
        <v/>
      </c>
      <c r="K130" s="43"/>
    </row>
    <row r="131" ht="15.75" customHeight="1">
      <c r="D131" s="43"/>
      <c r="H131" s="48" t="str">
        <f t="shared" si="1"/>
        <v/>
      </c>
      <c r="I131" s="48" t="str">
        <f t="shared" si="2"/>
        <v/>
      </c>
      <c r="J131" s="49" t="str">
        <f t="shared" si="3"/>
        <v/>
      </c>
      <c r="K131" s="43"/>
    </row>
    <row r="132" ht="15.75" customHeight="1">
      <c r="D132" s="43"/>
      <c r="H132" s="48" t="str">
        <f t="shared" si="1"/>
        <v/>
      </c>
      <c r="I132" s="48" t="str">
        <f t="shared" si="2"/>
        <v/>
      </c>
      <c r="J132" s="49" t="str">
        <f t="shared" si="3"/>
        <v/>
      </c>
      <c r="K132" s="43"/>
    </row>
    <row r="133" ht="15.75" customHeight="1">
      <c r="D133" s="43"/>
      <c r="H133" s="48" t="str">
        <f t="shared" si="1"/>
        <v/>
      </c>
      <c r="I133" s="48" t="str">
        <f t="shared" si="2"/>
        <v/>
      </c>
      <c r="J133" s="49" t="str">
        <f t="shared" si="3"/>
        <v/>
      </c>
      <c r="K133" s="43"/>
    </row>
    <row r="134" ht="15.75" customHeight="1">
      <c r="D134" s="43"/>
      <c r="H134" s="48" t="str">
        <f t="shared" si="1"/>
        <v/>
      </c>
      <c r="I134" s="48" t="str">
        <f t="shared" si="2"/>
        <v/>
      </c>
      <c r="J134" s="49" t="str">
        <f t="shared" si="3"/>
        <v/>
      </c>
      <c r="K134" s="43"/>
    </row>
    <row r="135" ht="15.75" customHeight="1">
      <c r="D135" s="43"/>
      <c r="H135" s="48" t="str">
        <f t="shared" si="1"/>
        <v/>
      </c>
      <c r="I135" s="48" t="str">
        <f t="shared" si="2"/>
        <v/>
      </c>
      <c r="J135" s="49" t="str">
        <f t="shared" si="3"/>
        <v/>
      </c>
      <c r="K135" s="43"/>
    </row>
    <row r="136" ht="15.75" customHeight="1">
      <c r="D136" s="43"/>
      <c r="H136" s="48" t="str">
        <f t="shared" si="1"/>
        <v/>
      </c>
      <c r="I136" s="48" t="str">
        <f t="shared" si="2"/>
        <v/>
      </c>
      <c r="J136" s="49" t="str">
        <f t="shared" si="3"/>
        <v/>
      </c>
      <c r="K136" s="43"/>
    </row>
    <row r="137" ht="15.75" customHeight="1">
      <c r="D137" s="43"/>
      <c r="H137" s="48" t="str">
        <f t="shared" si="1"/>
        <v/>
      </c>
      <c r="I137" s="48" t="str">
        <f t="shared" si="2"/>
        <v/>
      </c>
      <c r="J137" s="49" t="str">
        <f t="shared" si="3"/>
        <v/>
      </c>
      <c r="K137" s="43"/>
    </row>
    <row r="138" ht="15.75" customHeight="1">
      <c r="D138" s="43"/>
      <c r="H138" s="48" t="str">
        <f t="shared" si="1"/>
        <v/>
      </c>
      <c r="I138" s="48" t="str">
        <f t="shared" si="2"/>
        <v/>
      </c>
      <c r="J138" s="49" t="str">
        <f t="shared" si="3"/>
        <v/>
      </c>
      <c r="K138" s="43"/>
    </row>
    <row r="139" ht="15.75" customHeight="1">
      <c r="D139" s="43"/>
      <c r="H139" s="48" t="str">
        <f t="shared" si="1"/>
        <v/>
      </c>
      <c r="I139" s="48" t="str">
        <f t="shared" si="2"/>
        <v/>
      </c>
      <c r="J139" s="49" t="str">
        <f t="shared" si="3"/>
        <v/>
      </c>
      <c r="K139" s="43"/>
    </row>
    <row r="140" ht="15.75" customHeight="1">
      <c r="D140" s="43"/>
      <c r="H140" s="48" t="str">
        <f t="shared" si="1"/>
        <v/>
      </c>
      <c r="I140" s="48" t="str">
        <f t="shared" si="2"/>
        <v/>
      </c>
      <c r="J140" s="49" t="str">
        <f t="shared" si="3"/>
        <v/>
      </c>
      <c r="K140" s="43"/>
    </row>
    <row r="141" ht="15.75" customHeight="1">
      <c r="D141" s="43"/>
      <c r="H141" s="48" t="str">
        <f t="shared" si="1"/>
        <v/>
      </c>
      <c r="I141" s="48" t="str">
        <f t="shared" si="2"/>
        <v/>
      </c>
      <c r="J141" s="49" t="str">
        <f t="shared" si="3"/>
        <v/>
      </c>
      <c r="K141" s="43"/>
    </row>
    <row r="142" ht="15.75" customHeight="1">
      <c r="D142" s="43"/>
      <c r="H142" s="48" t="str">
        <f t="shared" si="1"/>
        <v/>
      </c>
      <c r="I142" s="48" t="str">
        <f t="shared" si="2"/>
        <v/>
      </c>
      <c r="J142" s="49" t="str">
        <f t="shared" si="3"/>
        <v/>
      </c>
      <c r="K142" s="43"/>
    </row>
    <row r="143" ht="15.75" customHeight="1">
      <c r="D143" s="43"/>
      <c r="H143" s="48" t="str">
        <f t="shared" si="1"/>
        <v/>
      </c>
      <c r="I143" s="48" t="str">
        <f t="shared" si="2"/>
        <v/>
      </c>
      <c r="J143" s="49" t="str">
        <f t="shared" si="3"/>
        <v/>
      </c>
      <c r="K143" s="43"/>
    </row>
    <row r="144" ht="15.75" customHeight="1">
      <c r="D144" s="43"/>
      <c r="H144" s="48" t="str">
        <f t="shared" si="1"/>
        <v/>
      </c>
      <c r="I144" s="48" t="str">
        <f t="shared" si="2"/>
        <v/>
      </c>
      <c r="J144" s="49" t="str">
        <f t="shared" si="3"/>
        <v/>
      </c>
      <c r="K144" s="43"/>
    </row>
    <row r="145" ht="15.75" customHeight="1">
      <c r="D145" s="43"/>
      <c r="H145" s="48" t="str">
        <f t="shared" si="1"/>
        <v/>
      </c>
      <c r="I145" s="48" t="str">
        <f t="shared" si="2"/>
        <v/>
      </c>
      <c r="J145" s="49" t="str">
        <f t="shared" si="3"/>
        <v/>
      </c>
      <c r="K145" s="43"/>
    </row>
    <row r="146" ht="15.75" customHeight="1">
      <c r="D146" s="43"/>
      <c r="H146" s="48" t="str">
        <f t="shared" si="1"/>
        <v/>
      </c>
      <c r="I146" s="48" t="str">
        <f t="shared" si="2"/>
        <v/>
      </c>
      <c r="J146" s="49" t="str">
        <f t="shared" si="3"/>
        <v/>
      </c>
      <c r="K146" s="43"/>
    </row>
    <row r="147" ht="15.75" customHeight="1">
      <c r="D147" s="43"/>
      <c r="H147" s="48" t="str">
        <f t="shared" si="1"/>
        <v/>
      </c>
      <c r="I147" s="48" t="str">
        <f t="shared" si="2"/>
        <v/>
      </c>
      <c r="J147" s="49" t="str">
        <f t="shared" si="3"/>
        <v/>
      </c>
      <c r="K147" s="43"/>
    </row>
    <row r="148" ht="15.75" customHeight="1">
      <c r="D148" s="43"/>
      <c r="H148" s="48" t="str">
        <f t="shared" si="1"/>
        <v/>
      </c>
      <c r="I148" s="48" t="str">
        <f t="shared" si="2"/>
        <v/>
      </c>
      <c r="J148" s="49" t="str">
        <f t="shared" si="3"/>
        <v/>
      </c>
      <c r="K148" s="43"/>
    </row>
    <row r="149" ht="15.75" customHeight="1">
      <c r="D149" s="43"/>
      <c r="H149" s="48" t="str">
        <f t="shared" si="1"/>
        <v/>
      </c>
      <c r="I149" s="48" t="str">
        <f t="shared" si="2"/>
        <v/>
      </c>
      <c r="J149" s="49" t="str">
        <f t="shared" si="3"/>
        <v/>
      </c>
      <c r="K149" s="43"/>
    </row>
    <row r="150" ht="15.75" customHeight="1">
      <c r="D150" s="43"/>
      <c r="H150" s="48" t="str">
        <f t="shared" si="1"/>
        <v/>
      </c>
      <c r="I150" s="48" t="str">
        <f t="shared" si="2"/>
        <v/>
      </c>
      <c r="J150" s="49" t="str">
        <f t="shared" si="3"/>
        <v/>
      </c>
      <c r="K150" s="43"/>
    </row>
    <row r="151" ht="15.75" customHeight="1">
      <c r="D151" s="43"/>
      <c r="H151" s="48" t="str">
        <f t="shared" si="1"/>
        <v/>
      </c>
      <c r="I151" s="48" t="str">
        <f t="shared" si="2"/>
        <v/>
      </c>
      <c r="J151" s="49" t="str">
        <f t="shared" si="3"/>
        <v/>
      </c>
      <c r="K151" s="43"/>
    </row>
    <row r="152" ht="15.75" customHeight="1">
      <c r="D152" s="43"/>
      <c r="H152" s="48" t="str">
        <f t="shared" si="1"/>
        <v/>
      </c>
      <c r="I152" s="48" t="str">
        <f t="shared" si="2"/>
        <v/>
      </c>
      <c r="J152" s="49" t="str">
        <f t="shared" si="3"/>
        <v/>
      </c>
      <c r="K152" s="43"/>
    </row>
    <row r="153" ht="15.75" customHeight="1">
      <c r="D153" s="43"/>
      <c r="H153" s="48" t="str">
        <f t="shared" si="1"/>
        <v/>
      </c>
      <c r="I153" s="48" t="str">
        <f t="shared" si="2"/>
        <v/>
      </c>
      <c r="J153" s="49" t="str">
        <f t="shared" si="3"/>
        <v/>
      </c>
      <c r="K153" s="43"/>
    </row>
    <row r="154" ht="15.75" customHeight="1">
      <c r="D154" s="43"/>
      <c r="H154" s="48" t="str">
        <f t="shared" si="1"/>
        <v/>
      </c>
      <c r="I154" s="48" t="str">
        <f t="shared" si="2"/>
        <v/>
      </c>
      <c r="J154" s="49" t="str">
        <f t="shared" si="3"/>
        <v/>
      </c>
      <c r="K154" s="43"/>
    </row>
    <row r="155" ht="15.75" customHeight="1">
      <c r="D155" s="43"/>
      <c r="H155" s="48" t="str">
        <f t="shared" si="1"/>
        <v/>
      </c>
      <c r="I155" s="48" t="str">
        <f t="shared" si="2"/>
        <v/>
      </c>
      <c r="J155" s="49" t="str">
        <f t="shared" si="3"/>
        <v/>
      </c>
      <c r="K155" s="43"/>
    </row>
    <row r="156" ht="15.75" customHeight="1">
      <c r="D156" s="43"/>
      <c r="H156" s="48" t="str">
        <f t="shared" si="1"/>
        <v/>
      </c>
      <c r="I156" s="48" t="str">
        <f t="shared" si="2"/>
        <v/>
      </c>
      <c r="J156" s="49" t="str">
        <f t="shared" si="3"/>
        <v/>
      </c>
      <c r="K156" s="43"/>
    </row>
    <row r="157" ht="15.75" customHeight="1">
      <c r="D157" s="43"/>
      <c r="H157" s="48" t="str">
        <f t="shared" si="1"/>
        <v/>
      </c>
      <c r="I157" s="48" t="str">
        <f t="shared" si="2"/>
        <v/>
      </c>
      <c r="J157" s="49" t="str">
        <f t="shared" si="3"/>
        <v/>
      </c>
      <c r="K157" s="43"/>
    </row>
    <row r="158" ht="15.75" customHeight="1">
      <c r="D158" s="43"/>
      <c r="H158" s="48" t="str">
        <f t="shared" si="1"/>
        <v/>
      </c>
      <c r="I158" s="48" t="str">
        <f t="shared" si="2"/>
        <v/>
      </c>
      <c r="J158" s="49" t="str">
        <f t="shared" si="3"/>
        <v/>
      </c>
      <c r="K158" s="43"/>
    </row>
    <row r="159" ht="15.75" customHeight="1">
      <c r="D159" s="43"/>
      <c r="H159" s="48" t="str">
        <f t="shared" si="1"/>
        <v/>
      </c>
      <c r="I159" s="48" t="str">
        <f t="shared" si="2"/>
        <v/>
      </c>
      <c r="J159" s="49" t="str">
        <f t="shared" si="3"/>
        <v/>
      </c>
      <c r="K159" s="43"/>
    </row>
    <row r="160" ht="15.75" customHeight="1">
      <c r="D160" s="43"/>
      <c r="H160" s="48" t="str">
        <f t="shared" si="1"/>
        <v/>
      </c>
      <c r="I160" s="48" t="str">
        <f t="shared" si="2"/>
        <v/>
      </c>
      <c r="J160" s="49" t="str">
        <f t="shared" si="3"/>
        <v/>
      </c>
      <c r="K160" s="43"/>
    </row>
    <row r="161" ht="15.75" customHeight="1">
      <c r="D161" s="43"/>
      <c r="H161" s="48" t="str">
        <f t="shared" si="1"/>
        <v/>
      </c>
      <c r="I161" s="48" t="str">
        <f t="shared" si="2"/>
        <v/>
      </c>
      <c r="J161" s="49" t="str">
        <f t="shared" si="3"/>
        <v/>
      </c>
      <c r="K161" s="43"/>
    </row>
    <row r="162" ht="15.75" customHeight="1">
      <c r="D162" s="43"/>
      <c r="H162" s="48" t="str">
        <f t="shared" si="1"/>
        <v/>
      </c>
      <c r="I162" s="48" t="str">
        <f t="shared" si="2"/>
        <v/>
      </c>
      <c r="J162" s="49" t="str">
        <f t="shared" si="3"/>
        <v/>
      </c>
      <c r="K162" s="43"/>
    </row>
    <row r="163" ht="15.75" customHeight="1">
      <c r="D163" s="43"/>
      <c r="H163" s="48" t="str">
        <f t="shared" si="1"/>
        <v/>
      </c>
      <c r="I163" s="48" t="str">
        <f t="shared" si="2"/>
        <v/>
      </c>
      <c r="J163" s="49" t="str">
        <f t="shared" si="3"/>
        <v/>
      </c>
      <c r="K163" s="43"/>
    </row>
    <row r="164" ht="15.75" customHeight="1">
      <c r="D164" s="43"/>
      <c r="H164" s="48" t="str">
        <f t="shared" si="1"/>
        <v/>
      </c>
      <c r="I164" s="48" t="str">
        <f t="shared" si="2"/>
        <v/>
      </c>
      <c r="J164" s="49" t="str">
        <f t="shared" si="3"/>
        <v/>
      </c>
      <c r="K164" s="43"/>
    </row>
    <row r="165" ht="15.75" customHeight="1">
      <c r="D165" s="43"/>
      <c r="H165" s="48" t="str">
        <f t="shared" si="1"/>
        <v/>
      </c>
      <c r="I165" s="48" t="str">
        <f t="shared" si="2"/>
        <v/>
      </c>
      <c r="J165" s="49" t="str">
        <f t="shared" si="3"/>
        <v/>
      </c>
      <c r="K165" s="43"/>
    </row>
    <row r="166" ht="15.75" customHeight="1">
      <c r="D166" s="43"/>
      <c r="H166" s="48" t="str">
        <f t="shared" si="1"/>
        <v/>
      </c>
      <c r="I166" s="48" t="str">
        <f t="shared" si="2"/>
        <v/>
      </c>
      <c r="J166" s="49" t="str">
        <f t="shared" si="3"/>
        <v/>
      </c>
      <c r="K166" s="43"/>
    </row>
    <row r="167" ht="15.75" customHeight="1">
      <c r="D167" s="43"/>
      <c r="H167" s="48" t="str">
        <f t="shared" si="1"/>
        <v/>
      </c>
      <c r="I167" s="48" t="str">
        <f t="shared" si="2"/>
        <v/>
      </c>
      <c r="J167" s="49" t="str">
        <f t="shared" si="3"/>
        <v/>
      </c>
      <c r="K167" s="43"/>
    </row>
    <row r="168" ht="15.75" customHeight="1">
      <c r="D168" s="43"/>
      <c r="H168" s="48" t="str">
        <f t="shared" si="1"/>
        <v/>
      </c>
      <c r="I168" s="48" t="str">
        <f t="shared" si="2"/>
        <v/>
      </c>
      <c r="J168" s="49" t="str">
        <f t="shared" si="3"/>
        <v/>
      </c>
      <c r="K168" s="43"/>
    </row>
    <row r="169" ht="15.75" customHeight="1">
      <c r="D169" s="43"/>
      <c r="H169" s="48" t="str">
        <f t="shared" si="1"/>
        <v/>
      </c>
      <c r="I169" s="48" t="str">
        <f t="shared" si="2"/>
        <v/>
      </c>
      <c r="J169" s="49" t="str">
        <f t="shared" si="3"/>
        <v/>
      </c>
      <c r="K169" s="43"/>
    </row>
    <row r="170" ht="15.75" customHeight="1">
      <c r="D170" s="43"/>
      <c r="H170" s="48" t="str">
        <f t="shared" si="1"/>
        <v/>
      </c>
      <c r="I170" s="48" t="str">
        <f t="shared" si="2"/>
        <v/>
      </c>
      <c r="J170" s="49" t="str">
        <f t="shared" si="3"/>
        <v/>
      </c>
      <c r="K170" s="43"/>
    </row>
    <row r="171" ht="15.75" customHeight="1">
      <c r="D171" s="43"/>
      <c r="H171" s="48" t="str">
        <f t="shared" si="1"/>
        <v/>
      </c>
      <c r="I171" s="48" t="str">
        <f t="shared" si="2"/>
        <v/>
      </c>
      <c r="J171" s="49" t="str">
        <f t="shared" si="3"/>
        <v/>
      </c>
      <c r="K171" s="43"/>
    </row>
    <row r="172" ht="15.75" customHeight="1">
      <c r="D172" s="43"/>
      <c r="H172" s="48" t="str">
        <f t="shared" si="1"/>
        <v/>
      </c>
      <c r="I172" s="48" t="str">
        <f t="shared" si="2"/>
        <v/>
      </c>
      <c r="J172" s="49" t="str">
        <f t="shared" si="3"/>
        <v/>
      </c>
      <c r="K172" s="43"/>
    </row>
    <row r="173" ht="15.75" customHeight="1">
      <c r="D173" s="43"/>
      <c r="H173" s="48" t="str">
        <f t="shared" si="1"/>
        <v/>
      </c>
      <c r="I173" s="48" t="str">
        <f t="shared" si="2"/>
        <v/>
      </c>
      <c r="J173" s="49" t="str">
        <f t="shared" si="3"/>
        <v/>
      </c>
      <c r="K173" s="43"/>
    </row>
    <row r="174" ht="15.75" customHeight="1">
      <c r="D174" s="43"/>
      <c r="H174" s="48" t="str">
        <f t="shared" si="1"/>
        <v/>
      </c>
      <c r="I174" s="48" t="str">
        <f t="shared" si="2"/>
        <v/>
      </c>
      <c r="J174" s="49" t="str">
        <f t="shared" si="3"/>
        <v/>
      </c>
      <c r="K174" s="43"/>
    </row>
    <row r="175" ht="15.75" customHeight="1">
      <c r="D175" s="43"/>
      <c r="H175" s="48" t="str">
        <f t="shared" si="1"/>
        <v/>
      </c>
      <c r="I175" s="48" t="str">
        <f t="shared" si="2"/>
        <v/>
      </c>
      <c r="J175" s="49" t="str">
        <f t="shared" si="3"/>
        <v/>
      </c>
      <c r="K175" s="43"/>
    </row>
    <row r="176" ht="15.75" customHeight="1">
      <c r="D176" s="43"/>
      <c r="H176" s="48" t="str">
        <f t="shared" si="1"/>
        <v/>
      </c>
      <c r="I176" s="48" t="str">
        <f t="shared" si="2"/>
        <v/>
      </c>
      <c r="J176" s="49" t="str">
        <f t="shared" si="3"/>
        <v/>
      </c>
      <c r="K176" s="43"/>
    </row>
    <row r="177" ht="15.75" customHeight="1">
      <c r="D177" s="43"/>
      <c r="H177" s="48" t="str">
        <f t="shared" si="1"/>
        <v/>
      </c>
      <c r="I177" s="48" t="str">
        <f t="shared" si="2"/>
        <v/>
      </c>
      <c r="J177" s="49" t="str">
        <f t="shared" si="3"/>
        <v/>
      </c>
      <c r="K177" s="43"/>
    </row>
    <row r="178" ht="15.75" customHeight="1">
      <c r="D178" s="43"/>
      <c r="H178" s="48" t="str">
        <f t="shared" si="1"/>
        <v/>
      </c>
      <c r="I178" s="48" t="str">
        <f t="shared" si="2"/>
        <v/>
      </c>
      <c r="J178" s="49" t="str">
        <f t="shared" si="3"/>
        <v/>
      </c>
      <c r="K178" s="43"/>
    </row>
    <row r="179" ht="15.75" customHeight="1">
      <c r="D179" s="43"/>
      <c r="H179" s="48" t="str">
        <f t="shared" si="1"/>
        <v/>
      </c>
      <c r="I179" s="48" t="str">
        <f t="shared" si="2"/>
        <v/>
      </c>
      <c r="J179" s="49" t="str">
        <f t="shared" si="3"/>
        <v/>
      </c>
      <c r="K179" s="43"/>
    </row>
    <row r="180" ht="15.75" customHeight="1">
      <c r="D180" s="43"/>
      <c r="H180" s="48" t="str">
        <f t="shared" si="1"/>
        <v/>
      </c>
      <c r="I180" s="48" t="str">
        <f t="shared" si="2"/>
        <v/>
      </c>
      <c r="J180" s="49" t="str">
        <f t="shared" si="3"/>
        <v/>
      </c>
      <c r="K180" s="43"/>
    </row>
    <row r="181" ht="15.75" customHeight="1">
      <c r="D181" s="43"/>
      <c r="H181" s="48" t="str">
        <f t="shared" si="1"/>
        <v/>
      </c>
      <c r="I181" s="48" t="str">
        <f t="shared" si="2"/>
        <v/>
      </c>
      <c r="J181" s="49" t="str">
        <f t="shared" si="3"/>
        <v/>
      </c>
      <c r="K181" s="43"/>
    </row>
    <row r="182" ht="15.75" customHeight="1">
      <c r="D182" s="43"/>
      <c r="H182" s="48" t="str">
        <f t="shared" si="1"/>
        <v/>
      </c>
      <c r="I182" s="48" t="str">
        <f t="shared" si="2"/>
        <v/>
      </c>
      <c r="J182" s="49" t="str">
        <f t="shared" si="3"/>
        <v/>
      </c>
      <c r="K182" s="43"/>
    </row>
    <row r="183" ht="15.75" customHeight="1">
      <c r="D183" s="43"/>
      <c r="H183" s="48" t="str">
        <f t="shared" si="1"/>
        <v/>
      </c>
      <c r="I183" s="48" t="str">
        <f t="shared" si="2"/>
        <v/>
      </c>
      <c r="J183" s="49" t="str">
        <f t="shared" si="3"/>
        <v/>
      </c>
      <c r="K183" s="43"/>
    </row>
    <row r="184" ht="15.75" customHeight="1">
      <c r="D184" s="43"/>
      <c r="H184" s="48" t="str">
        <f t="shared" si="1"/>
        <v/>
      </c>
      <c r="I184" s="48" t="str">
        <f t="shared" si="2"/>
        <v/>
      </c>
      <c r="J184" s="49" t="str">
        <f t="shared" si="3"/>
        <v/>
      </c>
      <c r="K184" s="43"/>
    </row>
    <row r="185" ht="15.75" customHeight="1">
      <c r="D185" s="43"/>
      <c r="H185" s="48" t="str">
        <f t="shared" si="1"/>
        <v/>
      </c>
      <c r="I185" s="48" t="str">
        <f t="shared" si="2"/>
        <v/>
      </c>
      <c r="J185" s="49" t="str">
        <f t="shared" si="3"/>
        <v/>
      </c>
      <c r="K185" s="43"/>
    </row>
    <row r="186" ht="15.75" customHeight="1">
      <c r="D186" s="43"/>
      <c r="H186" s="48" t="str">
        <f t="shared" si="1"/>
        <v/>
      </c>
      <c r="I186" s="48" t="str">
        <f t="shared" si="2"/>
        <v/>
      </c>
      <c r="J186" s="49" t="str">
        <f t="shared" si="3"/>
        <v/>
      </c>
      <c r="K186" s="43"/>
    </row>
    <row r="187" ht="15.75" customHeight="1">
      <c r="D187" s="43"/>
      <c r="H187" s="48" t="str">
        <f t="shared" si="1"/>
        <v/>
      </c>
      <c r="I187" s="48" t="str">
        <f t="shared" si="2"/>
        <v/>
      </c>
      <c r="J187" s="49" t="str">
        <f t="shared" si="3"/>
        <v/>
      </c>
      <c r="K187" s="43"/>
    </row>
    <row r="188" ht="15.75" customHeight="1">
      <c r="D188" s="43"/>
      <c r="H188" s="48" t="str">
        <f t="shared" si="1"/>
        <v/>
      </c>
      <c r="I188" s="48" t="str">
        <f t="shared" si="2"/>
        <v/>
      </c>
      <c r="J188" s="49" t="str">
        <f t="shared" si="3"/>
        <v/>
      </c>
      <c r="K188" s="43"/>
    </row>
    <row r="189" ht="15.75" customHeight="1">
      <c r="D189" s="43"/>
      <c r="H189" s="48" t="str">
        <f t="shared" si="1"/>
        <v/>
      </c>
      <c r="I189" s="48" t="str">
        <f t="shared" si="2"/>
        <v/>
      </c>
      <c r="J189" s="49" t="str">
        <f t="shared" si="3"/>
        <v/>
      </c>
      <c r="K189" s="43"/>
    </row>
    <row r="190" ht="15.75" customHeight="1">
      <c r="D190" s="43"/>
      <c r="H190" s="48" t="str">
        <f t="shared" si="1"/>
        <v/>
      </c>
      <c r="I190" s="48" t="str">
        <f t="shared" si="2"/>
        <v/>
      </c>
      <c r="J190" s="49" t="str">
        <f t="shared" si="3"/>
        <v/>
      </c>
      <c r="K190" s="43"/>
    </row>
    <row r="191" ht="15.75" customHeight="1">
      <c r="D191" s="43"/>
      <c r="H191" s="48" t="str">
        <f t="shared" si="1"/>
        <v/>
      </c>
      <c r="I191" s="48" t="str">
        <f t="shared" si="2"/>
        <v/>
      </c>
      <c r="J191" s="49" t="str">
        <f t="shared" si="3"/>
        <v/>
      </c>
      <c r="K191" s="43"/>
    </row>
    <row r="192" ht="15.75" customHeight="1">
      <c r="D192" s="43"/>
      <c r="H192" s="48" t="str">
        <f t="shared" si="1"/>
        <v/>
      </c>
      <c r="I192" s="48" t="str">
        <f t="shared" si="2"/>
        <v/>
      </c>
      <c r="J192" s="49" t="str">
        <f t="shared" si="3"/>
        <v/>
      </c>
      <c r="K192" s="43"/>
    </row>
    <row r="193" ht="15.75" customHeight="1">
      <c r="D193" s="43"/>
      <c r="H193" s="48" t="str">
        <f t="shared" si="1"/>
        <v/>
      </c>
      <c r="I193" s="48" t="str">
        <f t="shared" si="2"/>
        <v/>
      </c>
      <c r="J193" s="49" t="str">
        <f t="shared" si="3"/>
        <v/>
      </c>
      <c r="K193" s="43"/>
    </row>
    <row r="194" ht="15.75" customHeight="1">
      <c r="D194" s="43"/>
      <c r="H194" s="48" t="str">
        <f t="shared" si="1"/>
        <v/>
      </c>
      <c r="I194" s="48" t="str">
        <f t="shared" si="2"/>
        <v/>
      </c>
      <c r="J194" s="49" t="str">
        <f t="shared" si="3"/>
        <v/>
      </c>
      <c r="K194" s="43"/>
    </row>
    <row r="195" ht="15.75" customHeight="1">
      <c r="D195" s="43"/>
      <c r="H195" s="48" t="str">
        <f t="shared" si="1"/>
        <v/>
      </c>
      <c r="I195" s="48" t="str">
        <f t="shared" si="2"/>
        <v/>
      </c>
      <c r="J195" s="49" t="str">
        <f t="shared" si="3"/>
        <v/>
      </c>
      <c r="K195" s="43"/>
    </row>
    <row r="196" ht="15.75" customHeight="1">
      <c r="D196" s="43"/>
      <c r="H196" s="48" t="str">
        <f t="shared" si="1"/>
        <v/>
      </c>
      <c r="I196" s="48" t="str">
        <f t="shared" si="2"/>
        <v/>
      </c>
      <c r="J196" s="49" t="str">
        <f t="shared" si="3"/>
        <v/>
      </c>
      <c r="K196" s="43"/>
    </row>
    <row r="197" ht="15.75" customHeight="1">
      <c r="D197" s="43"/>
      <c r="H197" s="48" t="str">
        <f t="shared" si="1"/>
        <v/>
      </c>
      <c r="I197" s="48" t="str">
        <f t="shared" si="2"/>
        <v/>
      </c>
      <c r="J197" s="49" t="str">
        <f t="shared" si="3"/>
        <v/>
      </c>
      <c r="K197" s="43"/>
    </row>
    <row r="198" ht="15.75" customHeight="1">
      <c r="D198" s="43"/>
      <c r="H198" s="48" t="str">
        <f t="shared" si="1"/>
        <v/>
      </c>
      <c r="I198" s="48" t="str">
        <f t="shared" si="2"/>
        <v/>
      </c>
      <c r="J198" s="49" t="str">
        <f t="shared" si="3"/>
        <v/>
      </c>
      <c r="K198" s="43"/>
    </row>
    <row r="199" ht="15.75" customHeight="1">
      <c r="D199" s="43"/>
      <c r="H199" s="48" t="str">
        <f t="shared" si="1"/>
        <v/>
      </c>
      <c r="I199" s="48" t="str">
        <f t="shared" si="2"/>
        <v/>
      </c>
      <c r="J199" s="49" t="str">
        <f t="shared" si="3"/>
        <v/>
      </c>
      <c r="K199" s="43"/>
    </row>
    <row r="200" ht="15.75" customHeight="1">
      <c r="D200" s="43"/>
      <c r="H200" s="48" t="str">
        <f t="shared" si="1"/>
        <v/>
      </c>
      <c r="I200" s="48" t="str">
        <f t="shared" si="2"/>
        <v/>
      </c>
      <c r="J200" s="49" t="str">
        <f t="shared" si="3"/>
        <v/>
      </c>
      <c r="K200" s="43"/>
    </row>
    <row r="201" ht="15.75" customHeight="1">
      <c r="D201" s="43"/>
      <c r="H201" s="48" t="str">
        <f t="shared" si="1"/>
        <v/>
      </c>
      <c r="I201" s="48" t="str">
        <f t="shared" si="2"/>
        <v/>
      </c>
      <c r="J201" s="49" t="str">
        <f t="shared" si="3"/>
        <v/>
      </c>
      <c r="K201" s="43"/>
    </row>
    <row r="202" ht="15.75" customHeight="1">
      <c r="D202" s="43"/>
      <c r="H202" s="48" t="str">
        <f t="shared" si="1"/>
        <v/>
      </c>
      <c r="I202" s="48" t="str">
        <f t="shared" si="2"/>
        <v/>
      </c>
      <c r="J202" s="49" t="str">
        <f t="shared" si="3"/>
        <v/>
      </c>
      <c r="K202" s="43"/>
    </row>
    <row r="203" ht="15.75" customHeight="1">
      <c r="D203" s="43"/>
      <c r="H203" s="48" t="str">
        <f t="shared" si="1"/>
        <v/>
      </c>
      <c r="I203" s="48" t="str">
        <f t="shared" si="2"/>
        <v/>
      </c>
      <c r="J203" s="49" t="str">
        <f t="shared" si="3"/>
        <v/>
      </c>
      <c r="K203" s="43"/>
    </row>
    <row r="204" ht="15.75" customHeight="1">
      <c r="D204" s="43"/>
      <c r="H204" s="48" t="str">
        <f t="shared" si="1"/>
        <v/>
      </c>
      <c r="I204" s="48" t="str">
        <f t="shared" si="2"/>
        <v/>
      </c>
      <c r="J204" s="49" t="str">
        <f t="shared" si="3"/>
        <v/>
      </c>
      <c r="K204" s="43"/>
    </row>
    <row r="205" ht="15.75" customHeight="1">
      <c r="D205" s="43"/>
      <c r="H205" s="48" t="str">
        <f t="shared" si="1"/>
        <v/>
      </c>
      <c r="I205" s="48" t="str">
        <f t="shared" si="2"/>
        <v/>
      </c>
      <c r="J205" s="49" t="str">
        <f t="shared" si="3"/>
        <v/>
      </c>
      <c r="K205" s="43"/>
    </row>
    <row r="206" ht="15.75" customHeight="1">
      <c r="D206" s="43"/>
      <c r="H206" s="48" t="str">
        <f t="shared" si="1"/>
        <v/>
      </c>
      <c r="I206" s="48" t="str">
        <f t="shared" si="2"/>
        <v/>
      </c>
      <c r="J206" s="49" t="str">
        <f t="shared" si="3"/>
        <v/>
      </c>
      <c r="K206" s="43"/>
    </row>
    <row r="207" ht="15.75" customHeight="1">
      <c r="D207" s="43"/>
      <c r="H207" s="48" t="str">
        <f t="shared" si="1"/>
        <v/>
      </c>
      <c r="I207" s="48" t="str">
        <f t="shared" si="2"/>
        <v/>
      </c>
      <c r="J207" s="49" t="str">
        <f t="shared" si="3"/>
        <v/>
      </c>
      <c r="K207" s="43"/>
    </row>
    <row r="208" ht="15.75" customHeight="1">
      <c r="D208" s="43"/>
      <c r="H208" s="48" t="str">
        <f t="shared" si="1"/>
        <v/>
      </c>
      <c r="I208" s="48" t="str">
        <f t="shared" si="2"/>
        <v/>
      </c>
      <c r="J208" s="49" t="str">
        <f t="shared" si="3"/>
        <v/>
      </c>
      <c r="K208" s="43"/>
    </row>
    <row r="209" ht="15.75" customHeight="1">
      <c r="D209" s="43"/>
      <c r="H209" s="48" t="str">
        <f t="shared" si="1"/>
        <v/>
      </c>
      <c r="I209" s="48" t="str">
        <f t="shared" si="2"/>
        <v/>
      </c>
      <c r="J209" s="49" t="str">
        <f t="shared" si="3"/>
        <v/>
      </c>
      <c r="K209" s="43"/>
    </row>
    <row r="210" ht="15.75" customHeight="1">
      <c r="D210" s="43"/>
      <c r="H210" s="48" t="str">
        <f t="shared" si="1"/>
        <v/>
      </c>
      <c r="I210" s="48" t="str">
        <f t="shared" si="2"/>
        <v/>
      </c>
      <c r="J210" s="49" t="str">
        <f t="shared" si="3"/>
        <v/>
      </c>
      <c r="K210" s="43"/>
    </row>
    <row r="211" ht="15.75" customHeight="1">
      <c r="D211" s="43"/>
      <c r="K211" s="43"/>
    </row>
    <row r="212" ht="15.75" customHeight="1">
      <c r="D212" s="43"/>
      <c r="K212" s="43"/>
    </row>
    <row r="213" ht="15.75" customHeight="1">
      <c r="D213" s="43"/>
      <c r="K213" s="43"/>
    </row>
    <row r="214" ht="15.75" customHeight="1">
      <c r="D214" s="43"/>
      <c r="K214" s="43"/>
    </row>
    <row r="215" ht="15.75" customHeight="1">
      <c r="D215" s="43"/>
      <c r="K215" s="43"/>
    </row>
    <row r="216" ht="15.75" customHeight="1">
      <c r="D216" s="43"/>
      <c r="K216" s="43"/>
    </row>
    <row r="217" ht="15.75" customHeight="1">
      <c r="D217" s="43"/>
      <c r="K217" s="43"/>
    </row>
    <row r="218" ht="15.75" customHeight="1">
      <c r="D218" s="43"/>
      <c r="K218" s="43"/>
    </row>
    <row r="219" ht="15.75" customHeight="1">
      <c r="D219" s="43"/>
      <c r="K219" s="43"/>
    </row>
    <row r="220" ht="15.75" customHeight="1">
      <c r="D220" s="43"/>
      <c r="K220" s="43"/>
    </row>
    <row r="221" ht="15.75" customHeight="1">
      <c r="D221" s="43"/>
      <c r="K221" s="43"/>
    </row>
    <row r="222" ht="15.75" customHeight="1">
      <c r="D222" s="43"/>
      <c r="K222" s="43"/>
    </row>
    <row r="223" ht="15.75" customHeight="1">
      <c r="D223" s="43"/>
      <c r="K223" s="43"/>
    </row>
    <row r="224" ht="15.75" customHeight="1">
      <c r="D224" s="43"/>
      <c r="K224" s="43"/>
    </row>
    <row r="225" ht="15.75" customHeight="1">
      <c r="D225" s="43"/>
      <c r="K225" s="43"/>
    </row>
    <row r="226" ht="15.75" customHeight="1">
      <c r="D226" s="43"/>
      <c r="K226" s="43"/>
    </row>
    <row r="227" ht="15.75" customHeight="1">
      <c r="D227" s="43"/>
      <c r="K227" s="43"/>
    </row>
    <row r="228" ht="15.75" customHeight="1">
      <c r="D228" s="43"/>
      <c r="K228" s="43"/>
    </row>
    <row r="229" ht="15.75" customHeight="1">
      <c r="D229" s="43"/>
      <c r="K229" s="43"/>
    </row>
    <row r="230" ht="15.75" customHeight="1">
      <c r="D230" s="43"/>
      <c r="K230" s="43"/>
    </row>
    <row r="231" ht="15.75" customHeight="1">
      <c r="D231" s="43"/>
      <c r="K231" s="43"/>
    </row>
    <row r="232" ht="15.75" customHeight="1">
      <c r="D232" s="43"/>
      <c r="K232" s="43"/>
    </row>
    <row r="233" ht="15.75" customHeight="1">
      <c r="D233" s="43"/>
      <c r="K233" s="43"/>
    </row>
    <row r="234" ht="15.75" customHeight="1">
      <c r="D234" s="43"/>
      <c r="K234" s="43"/>
    </row>
    <row r="235" ht="15.75" customHeight="1">
      <c r="D235" s="43"/>
      <c r="K235" s="43"/>
    </row>
    <row r="236" ht="15.75" customHeight="1">
      <c r="D236" s="43"/>
      <c r="K236" s="43"/>
    </row>
    <row r="237" ht="15.75" customHeight="1">
      <c r="D237" s="43"/>
      <c r="K237" s="43"/>
    </row>
    <row r="238" ht="15.75" customHeight="1">
      <c r="D238" s="43"/>
      <c r="K238" s="43"/>
    </row>
    <row r="239" ht="15.75" customHeight="1">
      <c r="D239" s="43"/>
      <c r="K239" s="43"/>
    </row>
    <row r="240" ht="15.75" customHeight="1">
      <c r="D240" s="43"/>
      <c r="K240" s="43"/>
    </row>
    <row r="241" ht="15.75" customHeight="1">
      <c r="D241" s="43"/>
      <c r="K241" s="43"/>
    </row>
    <row r="242" ht="15.75" customHeight="1">
      <c r="D242" s="43"/>
      <c r="K242" s="43"/>
    </row>
    <row r="243" ht="15.75" customHeight="1">
      <c r="D243" s="43"/>
      <c r="K243" s="43"/>
    </row>
    <row r="244" ht="15.75" customHeight="1">
      <c r="D244" s="43"/>
      <c r="K244" s="43"/>
    </row>
    <row r="245" ht="15.75" customHeight="1">
      <c r="D245" s="43"/>
      <c r="K245" s="43"/>
    </row>
    <row r="246" ht="15.75" customHeight="1">
      <c r="D246" s="43"/>
      <c r="K246" s="43"/>
    </row>
    <row r="247" ht="15.75" customHeight="1">
      <c r="D247" s="43"/>
      <c r="K247" s="43"/>
    </row>
    <row r="248" ht="15.75" customHeight="1">
      <c r="D248" s="43"/>
      <c r="K248" s="43"/>
    </row>
    <row r="249" ht="15.75" customHeight="1">
      <c r="D249" s="43"/>
      <c r="K249" s="43"/>
    </row>
    <row r="250" ht="15.75" customHeight="1">
      <c r="D250" s="43"/>
      <c r="K250" s="43"/>
    </row>
    <row r="251" ht="15.75" customHeight="1">
      <c r="D251" s="43"/>
      <c r="K251" s="43"/>
    </row>
    <row r="252" ht="15.75" customHeight="1">
      <c r="D252" s="43"/>
      <c r="K252" s="43"/>
    </row>
    <row r="253" ht="15.75" customHeight="1">
      <c r="D253" s="43"/>
      <c r="K253" s="43"/>
    </row>
    <row r="254" ht="15.75" customHeight="1">
      <c r="D254" s="43"/>
      <c r="K254" s="43"/>
    </row>
    <row r="255" ht="15.75" customHeight="1">
      <c r="D255" s="43"/>
      <c r="K255" s="43"/>
    </row>
    <row r="256" ht="15.75" customHeight="1">
      <c r="D256" s="43"/>
      <c r="K256" s="43"/>
    </row>
    <row r="257" ht="15.75" customHeight="1">
      <c r="D257" s="43"/>
      <c r="K257" s="43"/>
    </row>
    <row r="258" ht="15.75" customHeight="1">
      <c r="D258" s="43"/>
      <c r="K258" s="43"/>
    </row>
    <row r="259" ht="15.75" customHeight="1">
      <c r="D259" s="43"/>
      <c r="K259" s="43"/>
    </row>
    <row r="260" ht="15.75" customHeight="1">
      <c r="D260" s="43"/>
      <c r="K260" s="43"/>
    </row>
    <row r="261" ht="15.75" customHeight="1">
      <c r="D261" s="43"/>
      <c r="K261" s="43"/>
    </row>
    <row r="262" ht="15.75" customHeight="1">
      <c r="D262" s="43"/>
      <c r="K262" s="43"/>
    </row>
    <row r="263" ht="15.75" customHeight="1">
      <c r="D263" s="43"/>
      <c r="K263" s="43"/>
    </row>
    <row r="264" ht="15.75" customHeight="1">
      <c r="D264" s="43"/>
      <c r="K264" s="43"/>
    </row>
    <row r="265" ht="15.75" customHeight="1">
      <c r="D265" s="43"/>
      <c r="K265" s="43"/>
    </row>
    <row r="266" ht="15.75" customHeight="1">
      <c r="D266" s="43"/>
      <c r="K266" s="43"/>
    </row>
    <row r="267" ht="15.75" customHeight="1">
      <c r="D267" s="43"/>
      <c r="K267" s="43"/>
    </row>
    <row r="268" ht="15.75" customHeight="1">
      <c r="D268" s="43"/>
      <c r="K268" s="43"/>
    </row>
    <row r="269" ht="15.75" customHeight="1">
      <c r="D269" s="43"/>
      <c r="K269" s="43"/>
    </row>
    <row r="270" ht="15.75" customHeight="1">
      <c r="D270" s="43"/>
      <c r="K270" s="43"/>
    </row>
    <row r="271" ht="15.75" customHeight="1">
      <c r="D271" s="43"/>
      <c r="K271" s="43"/>
    </row>
    <row r="272" ht="15.75" customHeight="1">
      <c r="D272" s="43"/>
      <c r="K272" s="43"/>
    </row>
    <row r="273" ht="15.75" customHeight="1">
      <c r="D273" s="43"/>
      <c r="K273" s="43"/>
    </row>
    <row r="274" ht="15.75" customHeight="1">
      <c r="D274" s="43"/>
      <c r="K274" s="43"/>
    </row>
    <row r="275" ht="15.75" customHeight="1">
      <c r="D275" s="43"/>
      <c r="K275" s="43"/>
    </row>
    <row r="276" ht="15.75" customHeight="1">
      <c r="D276" s="43"/>
      <c r="K276" s="43"/>
    </row>
    <row r="277" ht="15.75" customHeight="1">
      <c r="D277" s="43"/>
      <c r="K277" s="43"/>
    </row>
    <row r="278" ht="15.75" customHeight="1">
      <c r="D278" s="43"/>
      <c r="K278" s="43"/>
    </row>
    <row r="279" ht="15.75" customHeight="1">
      <c r="D279" s="43"/>
      <c r="K279" s="43"/>
    </row>
    <row r="280" ht="15.75" customHeight="1">
      <c r="D280" s="43"/>
      <c r="K280" s="43"/>
    </row>
    <row r="281" ht="15.75" customHeight="1">
      <c r="D281" s="43"/>
      <c r="K281" s="43"/>
    </row>
    <row r="282" ht="15.75" customHeight="1">
      <c r="D282" s="43"/>
      <c r="K282" s="43"/>
    </row>
    <row r="283" ht="15.75" customHeight="1">
      <c r="D283" s="43"/>
      <c r="K283" s="43"/>
    </row>
    <row r="284" ht="15.75" customHeight="1">
      <c r="D284" s="43"/>
      <c r="K284" s="43"/>
    </row>
    <row r="285" ht="15.75" customHeight="1">
      <c r="D285" s="43"/>
      <c r="K285" s="43"/>
    </row>
    <row r="286" ht="15.75" customHeight="1">
      <c r="D286" s="43"/>
      <c r="K286" s="43"/>
    </row>
    <row r="287" ht="15.75" customHeight="1">
      <c r="D287" s="43"/>
      <c r="K287" s="43"/>
    </row>
    <row r="288" ht="15.75" customHeight="1">
      <c r="D288" s="43"/>
      <c r="K288" s="43"/>
    </row>
    <row r="289" ht="15.75" customHeight="1">
      <c r="D289" s="43"/>
      <c r="K289" s="43"/>
    </row>
    <row r="290" ht="15.75" customHeight="1">
      <c r="D290" s="43"/>
      <c r="K290" s="43"/>
    </row>
    <row r="291" ht="15.75" customHeight="1">
      <c r="D291" s="43"/>
      <c r="K291" s="43"/>
    </row>
    <row r="292" ht="15.75" customHeight="1">
      <c r="D292" s="43"/>
      <c r="K292" s="43"/>
    </row>
    <row r="293" ht="15.75" customHeight="1">
      <c r="D293" s="43"/>
      <c r="K293" s="43"/>
    </row>
    <row r="294" ht="15.75" customHeight="1">
      <c r="D294" s="43"/>
      <c r="K294" s="43"/>
    </row>
    <row r="295" ht="15.75" customHeight="1">
      <c r="D295" s="43"/>
      <c r="K295" s="43"/>
    </row>
    <row r="296" ht="15.75" customHeight="1">
      <c r="D296" s="43"/>
      <c r="K296" s="43"/>
    </row>
    <row r="297" ht="15.75" customHeight="1">
      <c r="D297" s="43"/>
      <c r="K297" s="43"/>
    </row>
    <row r="298" ht="15.75" customHeight="1">
      <c r="D298" s="43"/>
      <c r="K298" s="43"/>
    </row>
    <row r="299" ht="15.75" customHeight="1">
      <c r="D299" s="43"/>
      <c r="K299" s="43"/>
    </row>
    <row r="300" ht="15.75" customHeight="1">
      <c r="D300" s="43"/>
      <c r="K300" s="43"/>
    </row>
    <row r="301" ht="15.75" customHeight="1">
      <c r="D301" s="43"/>
      <c r="K301" s="43"/>
    </row>
    <row r="302" ht="15.75" customHeight="1">
      <c r="D302" s="43"/>
      <c r="K302" s="43"/>
    </row>
    <row r="303" ht="15.75" customHeight="1">
      <c r="D303" s="43"/>
      <c r="K303" s="43"/>
    </row>
    <row r="304" ht="15.75" customHeight="1">
      <c r="D304" s="43"/>
      <c r="K304" s="43"/>
    </row>
    <row r="305" ht="15.75" customHeight="1">
      <c r="D305" s="43"/>
      <c r="K305" s="43"/>
    </row>
    <row r="306" ht="15.75" customHeight="1">
      <c r="D306" s="43"/>
      <c r="K306" s="43"/>
    </row>
    <row r="307" ht="15.75" customHeight="1">
      <c r="D307" s="43"/>
      <c r="K307" s="43"/>
    </row>
    <row r="308" ht="15.75" customHeight="1">
      <c r="D308" s="43"/>
      <c r="K308" s="43"/>
    </row>
    <row r="309" ht="15.75" customHeight="1">
      <c r="D309" s="43"/>
      <c r="K309" s="43"/>
    </row>
    <row r="310" ht="15.75" customHeight="1">
      <c r="D310" s="43"/>
      <c r="K310" s="43"/>
    </row>
    <row r="311" ht="15.75" customHeight="1">
      <c r="D311" s="43"/>
      <c r="K311" s="43"/>
    </row>
    <row r="312" ht="15.75" customHeight="1">
      <c r="D312" s="43"/>
      <c r="K312" s="43"/>
    </row>
    <row r="313" ht="15.75" customHeight="1">
      <c r="D313" s="43"/>
      <c r="K313" s="43"/>
    </row>
    <row r="314" ht="15.75" customHeight="1">
      <c r="D314" s="43"/>
      <c r="K314" s="43"/>
    </row>
    <row r="315" ht="15.75" customHeight="1">
      <c r="D315" s="43"/>
      <c r="K315" s="43"/>
    </row>
    <row r="316" ht="15.75" customHeight="1">
      <c r="D316" s="43"/>
      <c r="K316" s="43"/>
    </row>
    <row r="317" ht="15.75" customHeight="1">
      <c r="D317" s="43"/>
      <c r="K317" s="43"/>
    </row>
    <row r="318" ht="15.75" customHeight="1">
      <c r="D318" s="43"/>
      <c r="K318" s="43"/>
    </row>
    <row r="319" ht="15.75" customHeight="1">
      <c r="D319" s="43"/>
      <c r="K319" s="43"/>
    </row>
    <row r="320" ht="15.75" customHeight="1">
      <c r="D320" s="43"/>
      <c r="K320" s="43"/>
    </row>
    <row r="321" ht="15.75" customHeight="1">
      <c r="D321" s="43"/>
      <c r="K321" s="43"/>
    </row>
    <row r="322" ht="15.75" customHeight="1">
      <c r="D322" s="43"/>
      <c r="K322" s="43"/>
    </row>
    <row r="323" ht="15.75" customHeight="1">
      <c r="D323" s="43"/>
      <c r="K323" s="43"/>
    </row>
    <row r="324" ht="15.75" customHeight="1">
      <c r="D324" s="43"/>
      <c r="K324" s="43"/>
    </row>
    <row r="325" ht="15.75" customHeight="1">
      <c r="D325" s="43"/>
      <c r="K325" s="43"/>
    </row>
    <row r="326" ht="15.75" customHeight="1">
      <c r="D326" s="43"/>
      <c r="K326" s="43"/>
    </row>
    <row r="327" ht="15.75" customHeight="1">
      <c r="D327" s="43"/>
      <c r="K327" s="43"/>
    </row>
    <row r="328" ht="15.75" customHeight="1">
      <c r="D328" s="43"/>
      <c r="K328" s="43"/>
    </row>
    <row r="329" ht="15.75" customHeight="1">
      <c r="D329" s="43"/>
      <c r="K329" s="43"/>
    </row>
    <row r="330" ht="15.75" customHeight="1">
      <c r="D330" s="43"/>
      <c r="K330" s="43"/>
    </row>
    <row r="331" ht="15.75" customHeight="1">
      <c r="D331" s="43"/>
      <c r="K331" s="43"/>
    </row>
    <row r="332" ht="15.75" customHeight="1">
      <c r="D332" s="43"/>
      <c r="K332" s="43"/>
    </row>
    <row r="333" ht="15.75" customHeight="1">
      <c r="D333" s="43"/>
      <c r="K333" s="43"/>
    </row>
    <row r="334" ht="15.75" customHeight="1">
      <c r="D334" s="43"/>
      <c r="K334" s="43"/>
    </row>
    <row r="335" ht="15.75" customHeight="1">
      <c r="D335" s="43"/>
      <c r="K335" s="43"/>
    </row>
    <row r="336" ht="15.75" customHeight="1">
      <c r="D336" s="43"/>
      <c r="K336" s="43"/>
    </row>
    <row r="337" ht="15.75" customHeight="1">
      <c r="D337" s="43"/>
      <c r="K337" s="43"/>
    </row>
    <row r="338" ht="15.75" customHeight="1">
      <c r="D338" s="43"/>
      <c r="K338" s="43"/>
    </row>
    <row r="339" ht="15.75" customHeight="1">
      <c r="D339" s="43"/>
      <c r="K339" s="43"/>
    </row>
    <row r="340" ht="15.75" customHeight="1">
      <c r="D340" s="43"/>
      <c r="K340" s="43"/>
    </row>
    <row r="341" ht="15.75" customHeight="1">
      <c r="D341" s="43"/>
      <c r="K341" s="43"/>
    </row>
    <row r="342" ht="15.75" customHeight="1">
      <c r="D342" s="43"/>
      <c r="K342" s="43"/>
    </row>
    <row r="343" ht="15.75" customHeight="1">
      <c r="D343" s="43"/>
      <c r="K343" s="43"/>
    </row>
    <row r="344" ht="15.75" customHeight="1">
      <c r="D344" s="43"/>
      <c r="K344" s="43"/>
    </row>
    <row r="345" ht="15.75" customHeight="1">
      <c r="D345" s="43"/>
      <c r="K345" s="43"/>
    </row>
    <row r="346" ht="15.75" customHeight="1">
      <c r="D346" s="43"/>
      <c r="K346" s="43"/>
    </row>
    <row r="347" ht="15.75" customHeight="1">
      <c r="D347" s="43"/>
      <c r="K347" s="43"/>
    </row>
    <row r="348" ht="15.75" customHeight="1">
      <c r="D348" s="43"/>
      <c r="K348" s="43"/>
    </row>
    <row r="349" ht="15.75" customHeight="1">
      <c r="D349" s="43"/>
      <c r="K349" s="43"/>
    </row>
    <row r="350" ht="15.75" customHeight="1">
      <c r="D350" s="43"/>
      <c r="K350" s="43"/>
    </row>
    <row r="351" ht="15.75" customHeight="1">
      <c r="D351" s="43"/>
      <c r="K351" s="43"/>
    </row>
    <row r="352" ht="15.75" customHeight="1">
      <c r="D352" s="43"/>
      <c r="K352" s="43"/>
    </row>
    <row r="353" ht="15.75" customHeight="1">
      <c r="D353" s="43"/>
      <c r="K353" s="43"/>
    </row>
    <row r="354" ht="15.75" customHeight="1">
      <c r="D354" s="43"/>
      <c r="K354" s="43"/>
    </row>
    <row r="355" ht="15.75" customHeight="1">
      <c r="D355" s="43"/>
      <c r="K355" s="43"/>
    </row>
    <row r="356" ht="15.75" customHeight="1">
      <c r="D356" s="43"/>
      <c r="K356" s="43"/>
    </row>
    <row r="357" ht="15.75" customHeight="1">
      <c r="D357" s="43"/>
      <c r="K357" s="43"/>
    </row>
    <row r="358" ht="15.75" customHeight="1">
      <c r="D358" s="43"/>
      <c r="K358" s="43"/>
    </row>
    <row r="359" ht="15.75" customHeight="1">
      <c r="D359" s="43"/>
      <c r="K359" s="43"/>
    </row>
    <row r="360" ht="15.75" customHeight="1">
      <c r="D360" s="43"/>
      <c r="K360" s="43"/>
    </row>
    <row r="361" ht="15.75" customHeight="1">
      <c r="D361" s="43"/>
      <c r="K361" s="43"/>
    </row>
    <row r="362" ht="15.75" customHeight="1">
      <c r="D362" s="43"/>
      <c r="K362" s="43"/>
    </row>
    <row r="363" ht="15.75" customHeight="1">
      <c r="D363" s="43"/>
      <c r="K363" s="43"/>
    </row>
    <row r="364" ht="15.75" customHeight="1">
      <c r="D364" s="43"/>
      <c r="K364" s="43"/>
    </row>
    <row r="365" ht="15.75" customHeight="1">
      <c r="D365" s="43"/>
      <c r="K365" s="43"/>
    </row>
    <row r="366" ht="15.75" customHeight="1">
      <c r="D366" s="43"/>
      <c r="K366" s="43"/>
    </row>
    <row r="367" ht="15.75" customHeight="1">
      <c r="D367" s="43"/>
      <c r="K367" s="43"/>
    </row>
    <row r="368" ht="15.75" customHeight="1">
      <c r="D368" s="43"/>
      <c r="K368" s="43"/>
    </row>
    <row r="369" ht="15.75" customHeight="1">
      <c r="D369" s="43"/>
      <c r="K369" s="43"/>
    </row>
    <row r="370" ht="15.75" customHeight="1">
      <c r="D370" s="43"/>
      <c r="K370" s="43"/>
    </row>
    <row r="371" ht="15.75" customHeight="1">
      <c r="D371" s="43"/>
      <c r="K371" s="43"/>
    </row>
    <row r="372" ht="15.75" customHeight="1">
      <c r="D372" s="43"/>
      <c r="K372" s="43"/>
    </row>
    <row r="373" ht="15.75" customHeight="1">
      <c r="D373" s="43"/>
      <c r="K373" s="43"/>
    </row>
    <row r="374" ht="15.75" customHeight="1">
      <c r="D374" s="43"/>
      <c r="K374" s="43"/>
    </row>
    <row r="375" ht="15.75" customHeight="1">
      <c r="D375" s="43"/>
      <c r="K375" s="43"/>
    </row>
    <row r="376" ht="15.75" customHeight="1">
      <c r="D376" s="43"/>
      <c r="K376" s="43"/>
    </row>
    <row r="377" ht="15.75" customHeight="1">
      <c r="D377" s="43"/>
      <c r="K377" s="43"/>
    </row>
    <row r="378" ht="15.75" customHeight="1">
      <c r="D378" s="43"/>
      <c r="K378" s="43"/>
    </row>
    <row r="379" ht="15.75" customHeight="1">
      <c r="D379" s="43"/>
      <c r="K379" s="43"/>
    </row>
    <row r="380" ht="15.75" customHeight="1">
      <c r="D380" s="43"/>
      <c r="K380" s="43"/>
    </row>
    <row r="381" ht="15.75" customHeight="1">
      <c r="D381" s="43"/>
      <c r="K381" s="43"/>
    </row>
    <row r="382" ht="15.75" customHeight="1">
      <c r="D382" s="43"/>
      <c r="K382" s="43"/>
    </row>
    <row r="383" ht="15.75" customHeight="1">
      <c r="D383" s="43"/>
      <c r="K383" s="43"/>
    </row>
    <row r="384" ht="15.75" customHeight="1">
      <c r="D384" s="43"/>
      <c r="K384" s="43"/>
    </row>
    <row r="385" ht="15.75" customHeight="1">
      <c r="D385" s="43"/>
      <c r="K385" s="43"/>
    </row>
    <row r="386" ht="15.75" customHeight="1">
      <c r="D386" s="43"/>
      <c r="K386" s="43"/>
    </row>
    <row r="387" ht="15.75" customHeight="1">
      <c r="D387" s="43"/>
      <c r="K387" s="43"/>
    </row>
    <row r="388" ht="15.75" customHeight="1">
      <c r="D388" s="43"/>
      <c r="K388" s="43"/>
    </row>
    <row r="389" ht="15.75" customHeight="1">
      <c r="D389" s="43"/>
      <c r="K389" s="43"/>
    </row>
    <row r="390" ht="15.75" customHeight="1">
      <c r="D390" s="43"/>
      <c r="K390" s="43"/>
    </row>
    <row r="391" ht="15.75" customHeight="1">
      <c r="D391" s="43"/>
      <c r="K391" s="43"/>
    </row>
    <row r="392" ht="15.75" customHeight="1">
      <c r="D392" s="43"/>
      <c r="K392" s="43"/>
    </row>
    <row r="393" ht="15.75" customHeight="1">
      <c r="D393" s="43"/>
      <c r="K393" s="43"/>
    </row>
    <row r="394" ht="15.75" customHeight="1">
      <c r="D394" s="43"/>
      <c r="K394" s="43"/>
    </row>
    <row r="395" ht="15.75" customHeight="1">
      <c r="D395" s="43"/>
      <c r="K395" s="43"/>
    </row>
    <row r="396" ht="15.75" customHeight="1">
      <c r="D396" s="43"/>
      <c r="K396" s="43"/>
    </row>
    <row r="397" ht="15.75" customHeight="1">
      <c r="D397" s="43"/>
      <c r="K397" s="43"/>
    </row>
    <row r="398" ht="15.75" customHeight="1">
      <c r="D398" s="43"/>
      <c r="K398" s="43"/>
    </row>
    <row r="399" ht="15.75" customHeight="1">
      <c r="D399" s="43"/>
      <c r="K399" s="43"/>
    </row>
    <row r="400" ht="15.75" customHeight="1">
      <c r="D400" s="43"/>
      <c r="K400" s="43"/>
    </row>
    <row r="401" ht="15.75" customHeight="1">
      <c r="D401" s="43"/>
      <c r="K401" s="43"/>
    </row>
    <row r="402" ht="15.75" customHeight="1">
      <c r="D402" s="43"/>
      <c r="K402" s="43"/>
    </row>
    <row r="403" ht="15.75" customHeight="1">
      <c r="D403" s="43"/>
      <c r="K403" s="43"/>
    </row>
    <row r="404" ht="15.75" customHeight="1">
      <c r="D404" s="43"/>
      <c r="K404" s="43"/>
    </row>
    <row r="405" ht="15.75" customHeight="1">
      <c r="D405" s="43"/>
      <c r="K405" s="43"/>
    </row>
    <row r="406" ht="15.75" customHeight="1">
      <c r="D406" s="43"/>
      <c r="K406" s="43"/>
    </row>
    <row r="407" ht="15.75" customHeight="1">
      <c r="D407" s="43"/>
      <c r="K407" s="43"/>
    </row>
    <row r="408" ht="15.75" customHeight="1">
      <c r="D408" s="43"/>
      <c r="K408" s="43"/>
    </row>
    <row r="409" ht="15.75" customHeight="1">
      <c r="D409" s="43"/>
      <c r="K409" s="43"/>
    </row>
    <row r="410" ht="15.75" customHeight="1">
      <c r="D410" s="43"/>
      <c r="K410" s="43"/>
    </row>
    <row r="411" ht="15.75" customHeight="1">
      <c r="D411" s="65"/>
      <c r="K411" s="65"/>
    </row>
    <row r="412" ht="15.75" customHeight="1">
      <c r="D412" s="65"/>
      <c r="K412" s="65"/>
    </row>
    <row r="413" ht="15.75" customHeight="1">
      <c r="D413" s="65"/>
      <c r="K413" s="65"/>
    </row>
    <row r="414" ht="15.75" customHeight="1">
      <c r="D414" s="65"/>
      <c r="K414" s="65"/>
    </row>
    <row r="415" ht="15.75" customHeight="1">
      <c r="D415" s="65"/>
      <c r="K415" s="65"/>
    </row>
    <row r="416" ht="15.75" customHeight="1">
      <c r="D416" s="65"/>
      <c r="K416" s="65"/>
    </row>
    <row r="417" ht="15.75" customHeight="1">
      <c r="D417" s="65"/>
      <c r="K417" s="65"/>
    </row>
    <row r="418" ht="15.75" customHeight="1">
      <c r="D418" s="65"/>
      <c r="K418" s="65"/>
    </row>
    <row r="419" ht="15.75" customHeight="1">
      <c r="D419" s="65"/>
      <c r="K419" s="65"/>
    </row>
    <row r="420" ht="15.75" customHeight="1">
      <c r="D420" s="65"/>
      <c r="K420" s="65"/>
    </row>
    <row r="421" ht="15.75" customHeight="1">
      <c r="D421" s="65"/>
      <c r="K421" s="65"/>
    </row>
    <row r="422" ht="15.75" customHeight="1">
      <c r="D422" s="65"/>
      <c r="K422" s="65"/>
    </row>
    <row r="423" ht="15.75" customHeight="1">
      <c r="D423" s="65"/>
      <c r="K423" s="65"/>
    </row>
    <row r="424" ht="15.75" customHeight="1">
      <c r="D424" s="65"/>
      <c r="K424" s="65"/>
    </row>
    <row r="425" ht="15.75" customHeight="1">
      <c r="D425" s="65"/>
      <c r="K425" s="65"/>
    </row>
    <row r="426" ht="15.75" customHeight="1">
      <c r="D426" s="65"/>
      <c r="K426" s="65"/>
    </row>
    <row r="427" ht="15.75" customHeight="1">
      <c r="D427" s="65"/>
      <c r="K427" s="65"/>
    </row>
    <row r="428" ht="15.75" customHeight="1">
      <c r="D428" s="65"/>
      <c r="K428" s="65"/>
    </row>
    <row r="429" ht="15.75" customHeight="1">
      <c r="D429" s="65"/>
      <c r="K429" s="65"/>
    </row>
    <row r="430" ht="15.75" customHeight="1">
      <c r="D430" s="65"/>
      <c r="K430" s="65"/>
    </row>
    <row r="431" ht="15.75" customHeight="1">
      <c r="D431" s="65"/>
      <c r="K431" s="65"/>
    </row>
    <row r="432" ht="15.75" customHeight="1">
      <c r="D432" s="65"/>
      <c r="K432" s="65"/>
    </row>
    <row r="433" ht="15.75" customHeight="1">
      <c r="D433" s="65"/>
      <c r="K433" s="65"/>
    </row>
    <row r="434" ht="15.75" customHeight="1">
      <c r="D434" s="65"/>
      <c r="K434" s="65"/>
    </row>
    <row r="435" ht="15.75" customHeight="1">
      <c r="D435" s="65"/>
      <c r="K435" s="65"/>
    </row>
    <row r="436" ht="15.75" customHeight="1">
      <c r="D436" s="65"/>
      <c r="K436" s="65"/>
    </row>
    <row r="437" ht="15.75" customHeight="1">
      <c r="D437" s="65"/>
      <c r="K437" s="65"/>
    </row>
    <row r="438" ht="15.75" customHeight="1">
      <c r="D438" s="65"/>
      <c r="K438" s="65"/>
    </row>
    <row r="439" ht="15.75" customHeight="1">
      <c r="D439" s="65"/>
      <c r="K439" s="65"/>
    </row>
    <row r="440" ht="15.75" customHeight="1">
      <c r="D440" s="65"/>
      <c r="K440" s="65"/>
    </row>
    <row r="441" ht="15.75" customHeight="1">
      <c r="D441" s="65"/>
      <c r="K441" s="65"/>
    </row>
    <row r="442" ht="15.75" customHeight="1">
      <c r="D442" s="65"/>
      <c r="K442" s="65"/>
    </row>
    <row r="443" ht="15.75" customHeight="1">
      <c r="D443" s="65"/>
      <c r="K443" s="65"/>
    </row>
    <row r="444" ht="15.75" customHeight="1">
      <c r="D444" s="65"/>
      <c r="K444" s="65"/>
    </row>
    <row r="445" ht="15.75" customHeight="1">
      <c r="D445" s="65"/>
      <c r="K445" s="65"/>
    </row>
    <row r="446" ht="15.75" customHeight="1">
      <c r="D446" s="65"/>
      <c r="K446" s="65"/>
    </row>
    <row r="447" ht="15.75" customHeight="1">
      <c r="D447" s="65"/>
      <c r="K447" s="65"/>
    </row>
    <row r="448" ht="15.75" customHeight="1">
      <c r="D448" s="65"/>
      <c r="K448" s="65"/>
    </row>
    <row r="449" ht="15.75" customHeight="1">
      <c r="D449" s="65"/>
      <c r="K449" s="65"/>
    </row>
    <row r="450" ht="15.75" customHeight="1">
      <c r="D450" s="65"/>
      <c r="K450" s="65"/>
    </row>
    <row r="451" ht="15.75" customHeight="1">
      <c r="D451" s="65"/>
      <c r="K451" s="65"/>
    </row>
    <row r="452" ht="15.75" customHeight="1">
      <c r="D452" s="65"/>
      <c r="K452" s="65"/>
    </row>
    <row r="453" ht="15.75" customHeight="1">
      <c r="D453" s="65"/>
      <c r="K453" s="65"/>
    </row>
    <row r="454" ht="15.75" customHeight="1">
      <c r="D454" s="65"/>
      <c r="K454" s="65"/>
    </row>
    <row r="455" ht="15.75" customHeight="1">
      <c r="D455" s="65"/>
      <c r="K455" s="65"/>
    </row>
    <row r="456" ht="15.75" customHeight="1">
      <c r="D456" s="65"/>
      <c r="K456" s="65"/>
    </row>
    <row r="457" ht="15.75" customHeight="1">
      <c r="D457" s="65"/>
      <c r="K457" s="65"/>
    </row>
    <row r="458" ht="15.75" customHeight="1">
      <c r="D458" s="65"/>
      <c r="K458" s="65"/>
    </row>
    <row r="459" ht="15.75" customHeight="1">
      <c r="D459" s="65"/>
      <c r="K459" s="65"/>
    </row>
    <row r="460" ht="15.75" customHeight="1">
      <c r="D460" s="65"/>
      <c r="K460" s="65"/>
    </row>
    <row r="461" ht="15.75" customHeight="1">
      <c r="D461" s="65"/>
      <c r="K461" s="65"/>
    </row>
    <row r="462" ht="15.75" customHeight="1">
      <c r="D462" s="65"/>
      <c r="K462" s="65"/>
    </row>
    <row r="463" ht="15.75" customHeight="1">
      <c r="D463" s="65"/>
      <c r="K463" s="65"/>
    </row>
    <row r="464" ht="15.75" customHeight="1">
      <c r="D464" s="65"/>
      <c r="K464" s="65"/>
    </row>
    <row r="465" ht="15.75" customHeight="1">
      <c r="D465" s="65"/>
      <c r="K465" s="65"/>
    </row>
    <row r="466" ht="15.75" customHeight="1">
      <c r="D466" s="65"/>
      <c r="K466" s="65"/>
    </row>
    <row r="467" ht="15.75" customHeight="1">
      <c r="D467" s="65"/>
      <c r="K467" s="65"/>
    </row>
    <row r="468" ht="15.75" customHeight="1">
      <c r="D468" s="65"/>
      <c r="K468" s="65"/>
    </row>
    <row r="469" ht="15.75" customHeight="1">
      <c r="D469" s="65"/>
      <c r="K469" s="65"/>
    </row>
    <row r="470" ht="15.75" customHeight="1">
      <c r="D470" s="65"/>
      <c r="K470" s="65"/>
    </row>
    <row r="471" ht="15.75" customHeight="1">
      <c r="D471" s="65"/>
      <c r="K471" s="65"/>
    </row>
    <row r="472" ht="15.75" customHeight="1">
      <c r="D472" s="65"/>
      <c r="K472" s="65"/>
    </row>
    <row r="473" ht="15.75" customHeight="1">
      <c r="D473" s="65"/>
      <c r="K473" s="65"/>
    </row>
    <row r="474" ht="15.75" customHeight="1">
      <c r="D474" s="65"/>
      <c r="K474" s="65"/>
    </row>
    <row r="475" ht="15.75" customHeight="1">
      <c r="D475" s="65"/>
      <c r="K475" s="65"/>
    </row>
    <row r="476" ht="15.75" customHeight="1">
      <c r="D476" s="65"/>
      <c r="K476" s="65"/>
    </row>
    <row r="477" ht="15.75" customHeight="1">
      <c r="D477" s="65"/>
      <c r="K477" s="65"/>
    </row>
    <row r="478" ht="15.75" customHeight="1">
      <c r="D478" s="65"/>
      <c r="K478" s="65"/>
    </row>
    <row r="479" ht="15.75" customHeight="1">
      <c r="D479" s="65"/>
      <c r="K479" s="65"/>
    </row>
    <row r="480" ht="15.75" customHeight="1">
      <c r="D480" s="65"/>
      <c r="K480" s="65"/>
    </row>
    <row r="481" ht="15.75" customHeight="1">
      <c r="D481" s="65"/>
      <c r="K481" s="65"/>
    </row>
    <row r="482" ht="15.75" customHeight="1">
      <c r="D482" s="65"/>
      <c r="K482" s="65"/>
    </row>
    <row r="483" ht="15.75" customHeight="1">
      <c r="D483" s="65"/>
      <c r="K483" s="65"/>
    </row>
    <row r="484" ht="15.75" customHeight="1">
      <c r="D484" s="65"/>
      <c r="K484" s="65"/>
    </row>
    <row r="485" ht="15.75" customHeight="1">
      <c r="D485" s="65"/>
      <c r="K485" s="65"/>
    </row>
    <row r="486" ht="15.75" customHeight="1">
      <c r="D486" s="65"/>
      <c r="K486" s="65"/>
    </row>
    <row r="487" ht="15.75" customHeight="1">
      <c r="D487" s="65"/>
      <c r="K487" s="65"/>
    </row>
    <row r="488" ht="15.75" customHeight="1">
      <c r="D488" s="65"/>
      <c r="K488" s="65"/>
    </row>
    <row r="489" ht="15.75" customHeight="1">
      <c r="D489" s="65"/>
      <c r="K489" s="65"/>
    </row>
    <row r="490" ht="15.75" customHeight="1">
      <c r="D490" s="65"/>
      <c r="K490" s="65"/>
    </row>
    <row r="491" ht="15.75" customHeight="1">
      <c r="D491" s="65"/>
      <c r="K491" s="65"/>
    </row>
    <row r="492" ht="15.75" customHeight="1">
      <c r="D492" s="65"/>
      <c r="K492" s="65"/>
    </row>
    <row r="493" ht="15.75" customHeight="1">
      <c r="D493" s="65"/>
      <c r="K493" s="65"/>
    </row>
    <row r="494" ht="15.75" customHeight="1">
      <c r="D494" s="65"/>
      <c r="K494" s="65"/>
    </row>
    <row r="495" ht="15.75" customHeight="1">
      <c r="D495" s="65"/>
      <c r="K495" s="65"/>
    </row>
    <row r="496" ht="15.75" customHeight="1">
      <c r="D496" s="65"/>
      <c r="K496" s="65"/>
    </row>
    <row r="497" ht="15.75" customHeight="1">
      <c r="D497" s="65"/>
      <c r="K497" s="65"/>
    </row>
    <row r="498" ht="15.75" customHeight="1">
      <c r="D498" s="65"/>
      <c r="K498" s="65"/>
    </row>
    <row r="499" ht="15.75" customHeight="1">
      <c r="D499" s="65"/>
      <c r="K499" s="65"/>
    </row>
    <row r="500" ht="15.75" customHeight="1">
      <c r="D500" s="65"/>
      <c r="K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dataValidations>
    <dataValidation type="list" allowBlank="1" sqref="D11:D500">
      <formula1>"Backend,Frontend,Mobile,DevOps,QA,Design,PM,AI/ML"</formula1>
    </dataValidation>
    <dataValidation type="list" allowBlank="1" sqref="K11:K500">
      <formula1>"In,Out"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10.0"/>
    <col customWidth="1" min="3" max="3" width="40.0"/>
    <col customWidth="1" min="4" max="5" width="12.0"/>
    <col customWidth="1" min="6" max="6" width="11.0"/>
    <col customWidth="1" min="7" max="8" width="18.0"/>
    <col customWidth="1" min="9" max="10" width="14.0"/>
    <col customWidth="1" min="11" max="11" width="43.0"/>
    <col customWidth="1" min="12" max="12" width="14.43"/>
    <col customWidth="1" min="13" max="13" width="27.29"/>
  </cols>
  <sheetData>
    <row r="1">
      <c r="A1" s="1" t="s">
        <v>217</v>
      </c>
    </row>
    <row r="2" ht="54.0" customHeight="1">
      <c r="A2" s="2" t="s">
        <v>218</v>
      </c>
    </row>
    <row r="4" ht="30.0" customHeight="1">
      <c r="A4" s="4" t="s">
        <v>219</v>
      </c>
      <c r="B4" s="4" t="s">
        <v>111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224</v>
      </c>
      <c r="H4" s="4" t="s">
        <v>225</v>
      </c>
      <c r="I4" s="4" t="s">
        <v>65</v>
      </c>
      <c r="J4" s="4" t="s">
        <v>226</v>
      </c>
      <c r="K4" s="44" t="s">
        <v>227</v>
      </c>
      <c r="L4" s="44" t="s">
        <v>228</v>
      </c>
      <c r="M4" s="44" t="s">
        <v>229</v>
      </c>
    </row>
    <row r="5">
      <c r="A5" s="27" t="s">
        <v>230</v>
      </c>
      <c r="B5" s="27" t="s">
        <v>231</v>
      </c>
      <c r="C5" s="27" t="s">
        <v>232</v>
      </c>
      <c r="D5" s="45">
        <v>46328.0</v>
      </c>
      <c r="E5" s="45">
        <v>46339.0</v>
      </c>
      <c r="F5" s="27">
        <f t="shared" ref="F5:F204" si="1">IF(OR(D5="",E5=""),"",NETWORKDAYS(D5,E5))</f>
        <v>10</v>
      </c>
      <c r="G5" s="27" t="s">
        <v>233</v>
      </c>
      <c r="H5" s="27" t="s">
        <v>234</v>
      </c>
      <c r="I5" s="27" t="s">
        <v>235</v>
      </c>
      <c r="J5" s="46">
        <v>2000.0</v>
      </c>
      <c r="K5" s="47" t="s">
        <v>236</v>
      </c>
      <c r="L5" s="50">
        <v>46339.0</v>
      </c>
      <c r="M5" s="47" t="s">
        <v>235</v>
      </c>
    </row>
    <row r="6">
      <c r="A6" s="29"/>
      <c r="B6" s="29"/>
      <c r="C6" s="29"/>
      <c r="D6" s="51"/>
      <c r="E6" s="51"/>
      <c r="F6" s="29" t="str">
        <f t="shared" si="1"/>
        <v/>
      </c>
      <c r="G6" s="29"/>
      <c r="H6" s="29"/>
      <c r="I6" s="29"/>
      <c r="J6" s="41"/>
      <c r="K6" s="25"/>
      <c r="L6" s="52"/>
      <c r="M6" s="25"/>
    </row>
    <row r="7">
      <c r="A7" s="29"/>
      <c r="B7" s="29"/>
      <c r="C7" s="29"/>
      <c r="D7" s="51"/>
      <c r="E7" s="51"/>
      <c r="F7" s="29" t="str">
        <f t="shared" si="1"/>
        <v/>
      </c>
      <c r="G7" s="29"/>
      <c r="H7" s="29"/>
      <c r="I7" s="29"/>
      <c r="J7" s="41"/>
      <c r="K7" s="25"/>
      <c r="L7" s="52"/>
      <c r="M7" s="25"/>
    </row>
    <row r="8">
      <c r="A8" s="29"/>
      <c r="B8" s="29"/>
      <c r="C8" s="29"/>
      <c r="D8" s="51"/>
      <c r="E8" s="51"/>
      <c r="F8" s="29" t="str">
        <f t="shared" si="1"/>
        <v/>
      </c>
      <c r="G8" s="29"/>
      <c r="H8" s="29"/>
      <c r="I8" s="29"/>
      <c r="J8" s="41"/>
      <c r="K8" s="25"/>
      <c r="L8" s="52"/>
      <c r="M8" s="25"/>
    </row>
    <row r="9">
      <c r="A9" s="29"/>
      <c r="B9" s="29"/>
      <c r="C9" s="29"/>
      <c r="D9" s="51"/>
      <c r="E9" s="51"/>
      <c r="F9" s="29" t="str">
        <f t="shared" si="1"/>
        <v/>
      </c>
      <c r="G9" s="29"/>
      <c r="H9" s="29"/>
      <c r="I9" s="29"/>
      <c r="J9" s="41"/>
      <c r="K9" s="25"/>
      <c r="L9" s="52"/>
      <c r="M9" s="25"/>
    </row>
    <row r="10">
      <c r="A10" s="29"/>
      <c r="B10" s="29"/>
      <c r="C10" s="29"/>
      <c r="D10" s="51"/>
      <c r="E10" s="51"/>
      <c r="F10" s="29" t="str">
        <f t="shared" si="1"/>
        <v/>
      </c>
      <c r="G10" s="29"/>
      <c r="H10" s="29"/>
      <c r="I10" s="29"/>
      <c r="J10" s="41"/>
      <c r="K10" s="25"/>
      <c r="L10" s="52"/>
      <c r="M10" s="25"/>
    </row>
    <row r="11">
      <c r="A11" s="29"/>
      <c r="B11" s="29"/>
      <c r="C11" s="29"/>
      <c r="D11" s="51"/>
      <c r="E11" s="51"/>
      <c r="F11" s="29" t="str">
        <f t="shared" si="1"/>
        <v/>
      </c>
      <c r="G11" s="29"/>
      <c r="H11" s="29"/>
      <c r="I11" s="29"/>
      <c r="J11" s="41"/>
      <c r="K11" s="25"/>
      <c r="L11" s="52"/>
      <c r="M11" s="25"/>
    </row>
    <row r="12">
      <c r="A12" s="29"/>
      <c r="B12" s="29"/>
      <c r="C12" s="29"/>
      <c r="D12" s="51"/>
      <c r="E12" s="51"/>
      <c r="F12" s="29" t="str">
        <f t="shared" si="1"/>
        <v/>
      </c>
      <c r="G12" s="29"/>
      <c r="H12" s="29"/>
      <c r="I12" s="29"/>
      <c r="J12" s="41"/>
      <c r="K12" s="25"/>
      <c r="L12" s="52"/>
      <c r="M12" s="25"/>
    </row>
    <row r="13">
      <c r="A13" s="29"/>
      <c r="B13" s="29"/>
      <c r="C13" s="29"/>
      <c r="D13" s="51"/>
      <c r="E13" s="51"/>
      <c r="F13" s="29" t="str">
        <f t="shared" si="1"/>
        <v/>
      </c>
      <c r="G13" s="29"/>
      <c r="H13" s="29"/>
      <c r="I13" s="29"/>
      <c r="J13" s="41"/>
      <c r="K13" s="25"/>
      <c r="L13" s="52"/>
      <c r="M13" s="25"/>
    </row>
    <row r="14">
      <c r="A14" s="29"/>
      <c r="B14" s="29"/>
      <c r="C14" s="29"/>
      <c r="D14" s="51"/>
      <c r="E14" s="51"/>
      <c r="F14" s="29" t="str">
        <f t="shared" si="1"/>
        <v/>
      </c>
      <c r="G14" s="29"/>
      <c r="H14" s="29"/>
      <c r="I14" s="29"/>
      <c r="J14" s="41"/>
      <c r="K14" s="25"/>
      <c r="L14" s="52"/>
      <c r="M14" s="25"/>
    </row>
    <row r="15">
      <c r="A15" s="29"/>
      <c r="B15" s="29"/>
      <c r="C15" s="29"/>
      <c r="D15" s="51"/>
      <c r="E15" s="51"/>
      <c r="F15" s="29" t="str">
        <f t="shared" si="1"/>
        <v/>
      </c>
      <c r="G15" s="29"/>
      <c r="H15" s="29"/>
      <c r="I15" s="29"/>
      <c r="J15" s="41"/>
      <c r="K15" s="25"/>
      <c r="L15" s="52"/>
      <c r="M15" s="25"/>
    </row>
    <row r="16">
      <c r="A16" s="29"/>
      <c r="B16" s="29"/>
      <c r="C16" s="29"/>
      <c r="D16" s="51"/>
      <c r="E16" s="51"/>
      <c r="F16" s="29" t="str">
        <f t="shared" si="1"/>
        <v/>
      </c>
      <c r="G16" s="29"/>
      <c r="H16" s="29"/>
      <c r="I16" s="29"/>
      <c r="J16" s="41"/>
      <c r="K16" s="25"/>
      <c r="L16" s="52"/>
      <c r="M16" s="25"/>
    </row>
    <row r="17">
      <c r="A17" s="29"/>
      <c r="B17" s="29"/>
      <c r="C17" s="29"/>
      <c r="D17" s="51"/>
      <c r="E17" s="51"/>
      <c r="F17" s="29" t="str">
        <f t="shared" si="1"/>
        <v/>
      </c>
      <c r="G17" s="29"/>
      <c r="H17" s="29"/>
      <c r="I17" s="29"/>
      <c r="J17" s="41"/>
      <c r="K17" s="25"/>
      <c r="L17" s="52"/>
      <c r="M17" s="25"/>
    </row>
    <row r="18">
      <c r="A18" s="29"/>
      <c r="B18" s="29"/>
      <c r="C18" s="29"/>
      <c r="D18" s="51"/>
      <c r="E18" s="51"/>
      <c r="F18" s="29" t="str">
        <f t="shared" si="1"/>
        <v/>
      </c>
      <c r="G18" s="29"/>
      <c r="H18" s="29"/>
      <c r="I18" s="29"/>
      <c r="J18" s="41"/>
      <c r="K18" s="25"/>
      <c r="L18" s="52"/>
      <c r="M18" s="25"/>
    </row>
    <row r="19">
      <c r="A19" s="29"/>
      <c r="B19" s="29"/>
      <c r="C19" s="29"/>
      <c r="D19" s="51"/>
      <c r="E19" s="51"/>
      <c r="F19" s="29" t="str">
        <f t="shared" si="1"/>
        <v/>
      </c>
      <c r="G19" s="29"/>
      <c r="H19" s="29"/>
      <c r="I19" s="29"/>
      <c r="J19" s="41"/>
      <c r="K19" s="25"/>
      <c r="L19" s="52"/>
      <c r="M19" s="25"/>
    </row>
    <row r="20">
      <c r="A20" s="29"/>
      <c r="B20" s="29"/>
      <c r="C20" s="29"/>
      <c r="D20" s="51"/>
      <c r="E20" s="51"/>
      <c r="F20" s="29" t="str">
        <f t="shared" si="1"/>
        <v/>
      </c>
      <c r="G20" s="29"/>
      <c r="H20" s="29"/>
      <c r="I20" s="29"/>
      <c r="J20" s="41"/>
      <c r="K20" s="25"/>
      <c r="L20" s="52"/>
      <c r="M20" s="25"/>
    </row>
    <row r="21" ht="15.75" customHeight="1">
      <c r="A21" s="29"/>
      <c r="B21" s="29"/>
      <c r="C21" s="29"/>
      <c r="D21" s="51"/>
      <c r="E21" s="51"/>
      <c r="F21" s="29" t="str">
        <f t="shared" si="1"/>
        <v/>
      </c>
      <c r="G21" s="29"/>
      <c r="H21" s="29"/>
      <c r="I21" s="29"/>
      <c r="J21" s="41"/>
      <c r="K21" s="25"/>
      <c r="L21" s="52"/>
      <c r="M21" s="25"/>
    </row>
    <row r="22" ht="15.75" customHeight="1">
      <c r="A22" s="29"/>
      <c r="B22" s="29"/>
      <c r="C22" s="29"/>
      <c r="D22" s="51"/>
      <c r="E22" s="51"/>
      <c r="F22" s="29" t="str">
        <f t="shared" si="1"/>
        <v/>
      </c>
      <c r="G22" s="29"/>
      <c r="H22" s="29"/>
      <c r="I22" s="29"/>
      <c r="J22" s="41"/>
      <c r="K22" s="25"/>
      <c r="L22" s="52"/>
      <c r="M22" s="25"/>
    </row>
    <row r="23" ht="15.75" customHeight="1">
      <c r="A23" s="29"/>
      <c r="B23" s="29"/>
      <c r="C23" s="29"/>
      <c r="D23" s="51"/>
      <c r="E23" s="51"/>
      <c r="F23" s="29" t="str">
        <f t="shared" si="1"/>
        <v/>
      </c>
      <c r="G23" s="29"/>
      <c r="H23" s="29"/>
      <c r="I23" s="29"/>
      <c r="J23" s="41"/>
      <c r="K23" s="25"/>
      <c r="L23" s="52"/>
      <c r="M23" s="25"/>
    </row>
    <row r="24" ht="15.75" customHeight="1">
      <c r="A24" s="29"/>
      <c r="B24" s="29"/>
      <c r="C24" s="29"/>
      <c r="D24" s="51"/>
      <c r="E24" s="51"/>
      <c r="F24" s="29" t="str">
        <f t="shared" si="1"/>
        <v/>
      </c>
      <c r="G24" s="29"/>
      <c r="H24" s="29"/>
      <c r="I24" s="29"/>
      <c r="J24" s="41"/>
      <c r="K24" s="25"/>
      <c r="L24" s="52"/>
      <c r="M24" s="25"/>
    </row>
    <row r="25" ht="15.75" customHeight="1">
      <c r="A25" s="29"/>
      <c r="B25" s="29"/>
      <c r="C25" s="29"/>
      <c r="D25" s="51"/>
      <c r="E25" s="51"/>
      <c r="F25" s="29" t="str">
        <f t="shared" si="1"/>
        <v/>
      </c>
      <c r="G25" s="29"/>
      <c r="H25" s="29"/>
      <c r="I25" s="29"/>
      <c r="J25" s="41"/>
      <c r="K25" s="25"/>
      <c r="L25" s="52"/>
      <c r="M25" s="25"/>
    </row>
    <row r="26" ht="15.75" customHeight="1">
      <c r="D26" s="55"/>
      <c r="E26" s="55"/>
      <c r="F26" s="43" t="str">
        <f t="shared" si="1"/>
        <v/>
      </c>
      <c r="I26" s="43"/>
      <c r="J26" s="49"/>
      <c r="K26" s="56"/>
      <c r="L26" s="57"/>
      <c r="M26" s="56"/>
    </row>
    <row r="27" ht="15.75" customHeight="1">
      <c r="D27" s="55"/>
      <c r="E27" s="55"/>
      <c r="F27" s="43" t="str">
        <f t="shared" si="1"/>
        <v/>
      </c>
      <c r="I27" s="43"/>
      <c r="J27" s="49"/>
      <c r="K27" s="56"/>
      <c r="L27" s="57"/>
      <c r="M27" s="56"/>
    </row>
    <row r="28" ht="15.75" customHeight="1">
      <c r="D28" s="55"/>
      <c r="E28" s="55"/>
      <c r="F28" s="43" t="str">
        <f t="shared" si="1"/>
        <v/>
      </c>
      <c r="I28" s="43"/>
      <c r="J28" s="49"/>
      <c r="K28" s="56"/>
      <c r="L28" s="57"/>
      <c r="M28" s="56"/>
    </row>
    <row r="29" ht="15.75" customHeight="1">
      <c r="D29" s="55"/>
      <c r="E29" s="55"/>
      <c r="F29" s="43" t="str">
        <f t="shared" si="1"/>
        <v/>
      </c>
      <c r="I29" s="43"/>
      <c r="J29" s="49"/>
      <c r="K29" s="56"/>
      <c r="L29" s="57"/>
      <c r="M29" s="56"/>
    </row>
    <row r="30" ht="15.75" customHeight="1">
      <c r="D30" s="55"/>
      <c r="E30" s="55"/>
      <c r="F30" s="43" t="str">
        <f t="shared" si="1"/>
        <v/>
      </c>
      <c r="I30" s="43"/>
      <c r="J30" s="49"/>
      <c r="K30" s="56"/>
      <c r="L30" s="57"/>
      <c r="M30" s="56"/>
    </row>
    <row r="31" ht="15.75" customHeight="1">
      <c r="D31" s="55"/>
      <c r="E31" s="55"/>
      <c r="F31" s="43" t="str">
        <f t="shared" si="1"/>
        <v/>
      </c>
      <c r="I31" s="43"/>
      <c r="J31" s="49"/>
      <c r="K31" s="56"/>
      <c r="L31" s="57"/>
      <c r="M31" s="56"/>
    </row>
    <row r="32" ht="15.75" customHeight="1">
      <c r="D32" s="55"/>
      <c r="E32" s="55"/>
      <c r="F32" s="43" t="str">
        <f t="shared" si="1"/>
        <v/>
      </c>
      <c r="I32" s="43"/>
      <c r="J32" s="49"/>
      <c r="K32" s="56"/>
      <c r="L32" s="57"/>
      <c r="M32" s="56"/>
    </row>
    <row r="33" ht="15.75" customHeight="1">
      <c r="D33" s="55"/>
      <c r="E33" s="55"/>
      <c r="F33" s="43" t="str">
        <f t="shared" si="1"/>
        <v/>
      </c>
      <c r="I33" s="43"/>
      <c r="J33" s="49"/>
      <c r="K33" s="56"/>
      <c r="L33" s="57"/>
      <c r="M33" s="56"/>
    </row>
    <row r="34" ht="15.75" customHeight="1">
      <c r="D34" s="55"/>
      <c r="E34" s="55"/>
      <c r="F34" s="43" t="str">
        <f t="shared" si="1"/>
        <v/>
      </c>
      <c r="I34" s="43"/>
      <c r="J34" s="49"/>
      <c r="K34" s="56"/>
      <c r="L34" s="57"/>
      <c r="M34" s="56"/>
    </row>
    <row r="35" ht="15.75" customHeight="1">
      <c r="D35" s="55"/>
      <c r="E35" s="55"/>
      <c r="F35" s="43" t="str">
        <f t="shared" si="1"/>
        <v/>
      </c>
      <c r="I35" s="43"/>
      <c r="J35" s="49"/>
      <c r="K35" s="56"/>
      <c r="L35" s="57"/>
      <c r="M35" s="56"/>
    </row>
    <row r="36" ht="15.75" customHeight="1">
      <c r="D36" s="55"/>
      <c r="E36" s="55"/>
      <c r="F36" s="43" t="str">
        <f t="shared" si="1"/>
        <v/>
      </c>
      <c r="I36" s="43"/>
      <c r="J36" s="49"/>
      <c r="K36" s="56"/>
      <c r="L36" s="57"/>
      <c r="M36" s="56"/>
    </row>
    <row r="37" ht="15.75" customHeight="1">
      <c r="D37" s="55"/>
      <c r="E37" s="55"/>
      <c r="F37" s="43" t="str">
        <f t="shared" si="1"/>
        <v/>
      </c>
      <c r="I37" s="43"/>
      <c r="J37" s="49"/>
      <c r="K37" s="56"/>
      <c r="L37" s="57"/>
      <c r="M37" s="56"/>
    </row>
    <row r="38" ht="15.75" customHeight="1">
      <c r="D38" s="55"/>
      <c r="E38" s="55"/>
      <c r="F38" s="43" t="str">
        <f t="shared" si="1"/>
        <v/>
      </c>
      <c r="I38" s="43"/>
      <c r="J38" s="49"/>
      <c r="K38" s="56"/>
      <c r="L38" s="57"/>
      <c r="M38" s="56"/>
    </row>
    <row r="39" ht="15.75" customHeight="1">
      <c r="D39" s="55"/>
      <c r="E39" s="55"/>
      <c r="F39" s="43" t="str">
        <f t="shared" si="1"/>
        <v/>
      </c>
      <c r="I39" s="43"/>
      <c r="J39" s="49"/>
      <c r="K39" s="56"/>
      <c r="L39" s="57"/>
      <c r="M39" s="56"/>
    </row>
    <row r="40" ht="15.75" customHeight="1">
      <c r="D40" s="55"/>
      <c r="E40" s="55"/>
      <c r="F40" s="43" t="str">
        <f t="shared" si="1"/>
        <v/>
      </c>
      <c r="I40" s="43"/>
      <c r="J40" s="49"/>
      <c r="K40" s="56"/>
      <c r="L40" s="57"/>
      <c r="M40" s="56"/>
    </row>
    <row r="41" ht="15.75" customHeight="1">
      <c r="D41" s="55"/>
      <c r="E41" s="55"/>
      <c r="F41" s="43" t="str">
        <f t="shared" si="1"/>
        <v/>
      </c>
      <c r="I41" s="43"/>
      <c r="J41" s="49"/>
      <c r="K41" s="56"/>
      <c r="L41" s="57"/>
      <c r="M41" s="56"/>
    </row>
    <row r="42" ht="15.75" customHeight="1">
      <c r="D42" s="55"/>
      <c r="E42" s="55"/>
      <c r="F42" s="43" t="str">
        <f t="shared" si="1"/>
        <v/>
      </c>
      <c r="I42" s="43"/>
      <c r="J42" s="49"/>
      <c r="K42" s="56"/>
      <c r="L42" s="57"/>
      <c r="M42" s="56"/>
    </row>
    <row r="43" ht="15.75" customHeight="1">
      <c r="D43" s="55"/>
      <c r="E43" s="55"/>
      <c r="F43" s="43" t="str">
        <f t="shared" si="1"/>
        <v/>
      </c>
      <c r="I43" s="43"/>
      <c r="J43" s="49"/>
      <c r="K43" s="56"/>
      <c r="L43" s="57"/>
      <c r="M43" s="56"/>
    </row>
    <row r="44" ht="15.75" customHeight="1">
      <c r="D44" s="55"/>
      <c r="E44" s="55"/>
      <c r="F44" s="43" t="str">
        <f t="shared" si="1"/>
        <v/>
      </c>
      <c r="I44" s="43"/>
      <c r="J44" s="49"/>
      <c r="K44" s="56"/>
      <c r="L44" s="57"/>
      <c r="M44" s="56"/>
    </row>
    <row r="45" ht="15.75" customHeight="1">
      <c r="D45" s="55"/>
      <c r="E45" s="55"/>
      <c r="F45" s="43" t="str">
        <f t="shared" si="1"/>
        <v/>
      </c>
      <c r="I45" s="43"/>
      <c r="J45" s="49"/>
      <c r="K45" s="56"/>
      <c r="L45" s="57"/>
      <c r="M45" s="56"/>
    </row>
    <row r="46" ht="15.75" customHeight="1">
      <c r="D46" s="55"/>
      <c r="E46" s="55"/>
      <c r="F46" s="43" t="str">
        <f t="shared" si="1"/>
        <v/>
      </c>
      <c r="I46" s="43"/>
      <c r="J46" s="49"/>
      <c r="K46" s="56"/>
      <c r="L46" s="57"/>
      <c r="M46" s="56"/>
    </row>
    <row r="47" ht="15.75" customHeight="1">
      <c r="D47" s="55"/>
      <c r="E47" s="55"/>
      <c r="F47" s="43" t="str">
        <f t="shared" si="1"/>
        <v/>
      </c>
      <c r="I47" s="43"/>
      <c r="J47" s="49"/>
      <c r="K47" s="56"/>
      <c r="L47" s="57"/>
      <c r="M47" s="56"/>
    </row>
    <row r="48" ht="15.75" customHeight="1">
      <c r="D48" s="55"/>
      <c r="E48" s="55"/>
      <c r="F48" s="43" t="str">
        <f t="shared" si="1"/>
        <v/>
      </c>
      <c r="I48" s="43"/>
      <c r="J48" s="49"/>
      <c r="K48" s="56"/>
      <c r="L48" s="57"/>
      <c r="M48" s="56"/>
    </row>
    <row r="49" ht="15.75" customHeight="1">
      <c r="D49" s="55"/>
      <c r="E49" s="55"/>
      <c r="F49" s="43" t="str">
        <f t="shared" si="1"/>
        <v/>
      </c>
      <c r="I49" s="43"/>
      <c r="J49" s="49"/>
      <c r="K49" s="56"/>
      <c r="L49" s="57"/>
      <c r="M49" s="56"/>
    </row>
    <row r="50" ht="15.75" customHeight="1">
      <c r="D50" s="55"/>
      <c r="E50" s="55"/>
      <c r="F50" s="43" t="str">
        <f t="shared" si="1"/>
        <v/>
      </c>
      <c r="I50" s="43"/>
      <c r="J50" s="49"/>
      <c r="K50" s="56"/>
      <c r="L50" s="57"/>
      <c r="M50" s="56"/>
    </row>
    <row r="51" ht="15.75" customHeight="1">
      <c r="D51" s="55"/>
      <c r="E51" s="55"/>
      <c r="F51" s="43" t="str">
        <f t="shared" si="1"/>
        <v/>
      </c>
      <c r="I51" s="43"/>
      <c r="J51" s="49"/>
      <c r="K51" s="56"/>
      <c r="L51" s="57"/>
      <c r="M51" s="56"/>
    </row>
    <row r="52" ht="15.75" customHeight="1">
      <c r="D52" s="55"/>
      <c r="E52" s="55"/>
      <c r="F52" s="43" t="str">
        <f t="shared" si="1"/>
        <v/>
      </c>
      <c r="I52" s="43"/>
      <c r="J52" s="49"/>
      <c r="K52" s="56"/>
      <c r="L52" s="57"/>
      <c r="M52" s="56"/>
    </row>
    <row r="53" ht="15.75" customHeight="1">
      <c r="D53" s="55"/>
      <c r="E53" s="55"/>
      <c r="F53" s="43" t="str">
        <f t="shared" si="1"/>
        <v/>
      </c>
      <c r="I53" s="43"/>
      <c r="J53" s="49"/>
      <c r="K53" s="56"/>
      <c r="L53" s="57"/>
      <c r="M53" s="56"/>
    </row>
    <row r="54" ht="15.75" customHeight="1">
      <c r="D54" s="55"/>
      <c r="E54" s="55"/>
      <c r="F54" s="43" t="str">
        <f t="shared" si="1"/>
        <v/>
      </c>
      <c r="I54" s="43"/>
      <c r="J54" s="49"/>
      <c r="K54" s="56"/>
      <c r="L54" s="57"/>
      <c r="M54" s="56"/>
    </row>
    <row r="55" ht="15.75" customHeight="1">
      <c r="D55" s="55"/>
      <c r="E55" s="55"/>
      <c r="F55" s="43" t="str">
        <f t="shared" si="1"/>
        <v/>
      </c>
      <c r="I55" s="43"/>
      <c r="J55" s="49"/>
      <c r="K55" s="56"/>
      <c r="L55" s="57"/>
      <c r="M55" s="56"/>
    </row>
    <row r="56" ht="15.75" customHeight="1">
      <c r="D56" s="55"/>
      <c r="E56" s="55"/>
      <c r="F56" s="43" t="str">
        <f t="shared" si="1"/>
        <v/>
      </c>
      <c r="I56" s="43"/>
      <c r="J56" s="49"/>
      <c r="K56" s="56"/>
      <c r="L56" s="57"/>
      <c r="M56" s="56"/>
    </row>
    <row r="57" ht="15.75" customHeight="1">
      <c r="D57" s="55"/>
      <c r="E57" s="55"/>
      <c r="F57" s="43" t="str">
        <f t="shared" si="1"/>
        <v/>
      </c>
      <c r="I57" s="43"/>
      <c r="J57" s="49"/>
      <c r="K57" s="56"/>
      <c r="L57" s="57"/>
      <c r="M57" s="56"/>
    </row>
    <row r="58" ht="15.75" customHeight="1">
      <c r="D58" s="55"/>
      <c r="E58" s="55"/>
      <c r="F58" s="43" t="str">
        <f t="shared" si="1"/>
        <v/>
      </c>
      <c r="I58" s="43"/>
      <c r="J58" s="49"/>
      <c r="K58" s="56"/>
      <c r="L58" s="57"/>
      <c r="M58" s="56"/>
    </row>
    <row r="59" ht="15.75" customHeight="1">
      <c r="D59" s="55"/>
      <c r="E59" s="55"/>
      <c r="F59" s="43" t="str">
        <f t="shared" si="1"/>
        <v/>
      </c>
      <c r="I59" s="43"/>
      <c r="J59" s="49"/>
      <c r="K59" s="56"/>
      <c r="L59" s="57"/>
      <c r="M59" s="56"/>
    </row>
    <row r="60" ht="15.75" customHeight="1">
      <c r="D60" s="55"/>
      <c r="E60" s="55"/>
      <c r="F60" s="43" t="str">
        <f t="shared" si="1"/>
        <v/>
      </c>
      <c r="I60" s="43"/>
      <c r="J60" s="49"/>
      <c r="K60" s="56"/>
      <c r="L60" s="57"/>
      <c r="M60" s="56"/>
    </row>
    <row r="61" ht="15.75" customHeight="1">
      <c r="D61" s="55"/>
      <c r="E61" s="55"/>
      <c r="F61" s="43" t="str">
        <f t="shared" si="1"/>
        <v/>
      </c>
      <c r="I61" s="43"/>
      <c r="J61" s="49"/>
      <c r="K61" s="56"/>
      <c r="L61" s="57"/>
      <c r="M61" s="56"/>
    </row>
    <row r="62" ht="15.75" customHeight="1">
      <c r="D62" s="55"/>
      <c r="E62" s="55"/>
      <c r="F62" s="43" t="str">
        <f t="shared" si="1"/>
        <v/>
      </c>
      <c r="I62" s="43"/>
      <c r="J62" s="49"/>
      <c r="K62" s="56"/>
      <c r="L62" s="57"/>
      <c r="M62" s="56"/>
    </row>
    <row r="63" ht="15.75" customHeight="1">
      <c r="D63" s="55"/>
      <c r="E63" s="55"/>
      <c r="F63" s="43" t="str">
        <f t="shared" si="1"/>
        <v/>
      </c>
      <c r="I63" s="43"/>
      <c r="J63" s="49"/>
      <c r="K63" s="56"/>
      <c r="L63" s="57"/>
      <c r="M63" s="56"/>
    </row>
    <row r="64" ht="15.75" customHeight="1">
      <c r="D64" s="55"/>
      <c r="E64" s="55"/>
      <c r="F64" s="43" t="str">
        <f t="shared" si="1"/>
        <v/>
      </c>
      <c r="I64" s="43"/>
      <c r="J64" s="49"/>
      <c r="K64" s="56"/>
      <c r="L64" s="57"/>
      <c r="M64" s="56"/>
    </row>
    <row r="65" ht="15.75" customHeight="1">
      <c r="D65" s="55"/>
      <c r="E65" s="55"/>
      <c r="F65" s="43" t="str">
        <f t="shared" si="1"/>
        <v/>
      </c>
      <c r="I65" s="43"/>
      <c r="J65" s="49"/>
      <c r="K65" s="56"/>
      <c r="L65" s="57"/>
      <c r="M65" s="56"/>
    </row>
    <row r="66" ht="15.75" customHeight="1">
      <c r="D66" s="55"/>
      <c r="E66" s="55"/>
      <c r="F66" s="43" t="str">
        <f t="shared" si="1"/>
        <v/>
      </c>
      <c r="I66" s="43"/>
      <c r="J66" s="49"/>
      <c r="K66" s="56"/>
      <c r="L66" s="57"/>
      <c r="M66" s="56"/>
    </row>
    <row r="67" ht="15.75" customHeight="1">
      <c r="D67" s="55"/>
      <c r="E67" s="55"/>
      <c r="F67" s="43" t="str">
        <f t="shared" si="1"/>
        <v/>
      </c>
      <c r="I67" s="43"/>
      <c r="J67" s="49"/>
      <c r="K67" s="56"/>
      <c r="L67" s="57"/>
      <c r="M67" s="56"/>
    </row>
    <row r="68" ht="15.75" customHeight="1">
      <c r="D68" s="55"/>
      <c r="E68" s="55"/>
      <c r="F68" s="43" t="str">
        <f t="shared" si="1"/>
        <v/>
      </c>
      <c r="I68" s="43"/>
      <c r="J68" s="49"/>
      <c r="K68" s="56"/>
      <c r="L68" s="57"/>
      <c r="M68" s="56"/>
    </row>
    <row r="69" ht="15.75" customHeight="1">
      <c r="D69" s="55"/>
      <c r="E69" s="55"/>
      <c r="F69" s="43" t="str">
        <f t="shared" si="1"/>
        <v/>
      </c>
      <c r="I69" s="43"/>
      <c r="J69" s="49"/>
      <c r="K69" s="56"/>
      <c r="L69" s="57"/>
      <c r="M69" s="56"/>
    </row>
    <row r="70" ht="15.75" customHeight="1">
      <c r="D70" s="55"/>
      <c r="E70" s="55"/>
      <c r="F70" s="43" t="str">
        <f t="shared" si="1"/>
        <v/>
      </c>
      <c r="I70" s="43"/>
      <c r="J70" s="49"/>
      <c r="K70" s="56"/>
      <c r="L70" s="57"/>
      <c r="M70" s="56"/>
    </row>
    <row r="71" ht="15.75" customHeight="1">
      <c r="D71" s="55"/>
      <c r="E71" s="55"/>
      <c r="F71" s="43" t="str">
        <f t="shared" si="1"/>
        <v/>
      </c>
      <c r="I71" s="43"/>
      <c r="J71" s="49"/>
      <c r="K71" s="56"/>
      <c r="L71" s="57"/>
      <c r="M71" s="56"/>
    </row>
    <row r="72" ht="15.75" customHeight="1">
      <c r="D72" s="55"/>
      <c r="E72" s="55"/>
      <c r="F72" s="43" t="str">
        <f t="shared" si="1"/>
        <v/>
      </c>
      <c r="I72" s="43"/>
      <c r="J72" s="49"/>
      <c r="K72" s="56"/>
      <c r="L72" s="57"/>
      <c r="M72" s="56"/>
    </row>
    <row r="73" ht="15.75" customHeight="1">
      <c r="D73" s="55"/>
      <c r="E73" s="55"/>
      <c r="F73" s="43" t="str">
        <f t="shared" si="1"/>
        <v/>
      </c>
      <c r="I73" s="43"/>
      <c r="J73" s="49"/>
      <c r="K73" s="56"/>
      <c r="L73" s="57"/>
      <c r="M73" s="56"/>
    </row>
    <row r="74" ht="15.75" customHeight="1">
      <c r="D74" s="55"/>
      <c r="E74" s="55"/>
      <c r="F74" s="43" t="str">
        <f t="shared" si="1"/>
        <v/>
      </c>
      <c r="I74" s="43"/>
      <c r="J74" s="49"/>
      <c r="K74" s="56"/>
      <c r="L74" s="57"/>
      <c r="M74" s="56"/>
    </row>
    <row r="75" ht="15.75" customHeight="1">
      <c r="D75" s="55"/>
      <c r="E75" s="55"/>
      <c r="F75" s="43" t="str">
        <f t="shared" si="1"/>
        <v/>
      </c>
      <c r="I75" s="43"/>
      <c r="J75" s="49"/>
      <c r="K75" s="56"/>
      <c r="L75" s="57"/>
      <c r="M75" s="56"/>
    </row>
    <row r="76" ht="15.75" customHeight="1">
      <c r="D76" s="55"/>
      <c r="E76" s="55"/>
      <c r="F76" s="43" t="str">
        <f t="shared" si="1"/>
        <v/>
      </c>
      <c r="I76" s="43"/>
      <c r="J76" s="49"/>
      <c r="K76" s="56"/>
      <c r="L76" s="57"/>
      <c r="M76" s="56"/>
    </row>
    <row r="77" ht="15.75" customHeight="1">
      <c r="D77" s="55"/>
      <c r="E77" s="55"/>
      <c r="F77" s="43" t="str">
        <f t="shared" si="1"/>
        <v/>
      </c>
      <c r="I77" s="43"/>
      <c r="J77" s="49"/>
      <c r="K77" s="56"/>
      <c r="L77" s="57"/>
      <c r="M77" s="56"/>
    </row>
    <row r="78" ht="15.75" customHeight="1">
      <c r="D78" s="55"/>
      <c r="E78" s="55"/>
      <c r="F78" s="43" t="str">
        <f t="shared" si="1"/>
        <v/>
      </c>
      <c r="I78" s="43"/>
      <c r="J78" s="49"/>
      <c r="K78" s="56"/>
      <c r="L78" s="57"/>
      <c r="M78" s="56"/>
    </row>
    <row r="79" ht="15.75" customHeight="1">
      <c r="D79" s="55"/>
      <c r="E79" s="55"/>
      <c r="F79" s="43" t="str">
        <f t="shared" si="1"/>
        <v/>
      </c>
      <c r="I79" s="43"/>
      <c r="J79" s="49"/>
      <c r="K79" s="56"/>
      <c r="L79" s="57"/>
      <c r="M79" s="56"/>
    </row>
    <row r="80" ht="15.75" customHeight="1">
      <c r="D80" s="55"/>
      <c r="E80" s="55"/>
      <c r="F80" s="43" t="str">
        <f t="shared" si="1"/>
        <v/>
      </c>
      <c r="I80" s="43"/>
      <c r="J80" s="49"/>
      <c r="K80" s="56"/>
      <c r="L80" s="57"/>
      <c r="M80" s="56"/>
    </row>
    <row r="81" ht="15.75" customHeight="1">
      <c r="D81" s="55"/>
      <c r="E81" s="55"/>
      <c r="F81" s="43" t="str">
        <f t="shared" si="1"/>
        <v/>
      </c>
      <c r="I81" s="43"/>
      <c r="J81" s="49"/>
      <c r="K81" s="56"/>
      <c r="L81" s="57"/>
      <c r="M81" s="56"/>
    </row>
    <row r="82" ht="15.75" customHeight="1">
      <c r="D82" s="55"/>
      <c r="E82" s="55"/>
      <c r="F82" s="43" t="str">
        <f t="shared" si="1"/>
        <v/>
      </c>
      <c r="I82" s="43"/>
      <c r="J82" s="49"/>
      <c r="K82" s="56"/>
      <c r="L82" s="57"/>
      <c r="M82" s="56"/>
    </row>
    <row r="83" ht="15.75" customHeight="1">
      <c r="D83" s="55"/>
      <c r="E83" s="55"/>
      <c r="F83" s="43" t="str">
        <f t="shared" si="1"/>
        <v/>
      </c>
      <c r="I83" s="43"/>
      <c r="J83" s="49"/>
      <c r="K83" s="56"/>
      <c r="L83" s="57"/>
      <c r="M83" s="56"/>
    </row>
    <row r="84" ht="15.75" customHeight="1">
      <c r="D84" s="55"/>
      <c r="E84" s="55"/>
      <c r="F84" s="43" t="str">
        <f t="shared" si="1"/>
        <v/>
      </c>
      <c r="I84" s="43"/>
      <c r="J84" s="49"/>
      <c r="K84" s="56"/>
      <c r="L84" s="57"/>
      <c r="M84" s="56"/>
    </row>
    <row r="85" ht="15.75" customHeight="1">
      <c r="D85" s="55"/>
      <c r="E85" s="55"/>
      <c r="F85" s="43" t="str">
        <f t="shared" si="1"/>
        <v/>
      </c>
      <c r="I85" s="43"/>
      <c r="J85" s="49"/>
      <c r="K85" s="56"/>
      <c r="L85" s="57"/>
      <c r="M85" s="56"/>
    </row>
    <row r="86" ht="15.75" customHeight="1">
      <c r="D86" s="55"/>
      <c r="E86" s="55"/>
      <c r="F86" s="43" t="str">
        <f t="shared" si="1"/>
        <v/>
      </c>
      <c r="I86" s="43"/>
      <c r="J86" s="49"/>
      <c r="K86" s="56"/>
      <c r="L86" s="57"/>
      <c r="M86" s="56"/>
    </row>
    <row r="87" ht="15.75" customHeight="1">
      <c r="D87" s="55"/>
      <c r="E87" s="55"/>
      <c r="F87" s="43" t="str">
        <f t="shared" si="1"/>
        <v/>
      </c>
      <c r="I87" s="43"/>
      <c r="J87" s="49"/>
      <c r="K87" s="56"/>
      <c r="L87" s="57"/>
      <c r="M87" s="56"/>
    </row>
    <row r="88" ht="15.75" customHeight="1">
      <c r="D88" s="55"/>
      <c r="E88" s="55"/>
      <c r="F88" s="43" t="str">
        <f t="shared" si="1"/>
        <v/>
      </c>
      <c r="I88" s="43"/>
      <c r="J88" s="49"/>
      <c r="K88" s="56"/>
      <c r="L88" s="57"/>
      <c r="M88" s="56"/>
    </row>
    <row r="89" ht="15.75" customHeight="1">
      <c r="D89" s="55"/>
      <c r="E89" s="55"/>
      <c r="F89" s="43" t="str">
        <f t="shared" si="1"/>
        <v/>
      </c>
      <c r="I89" s="43"/>
      <c r="J89" s="49"/>
      <c r="K89" s="56"/>
      <c r="L89" s="57"/>
      <c r="M89" s="56"/>
    </row>
    <row r="90" ht="15.75" customHeight="1">
      <c r="D90" s="55"/>
      <c r="E90" s="55"/>
      <c r="F90" s="43" t="str">
        <f t="shared" si="1"/>
        <v/>
      </c>
      <c r="I90" s="43"/>
      <c r="J90" s="49"/>
      <c r="K90" s="56"/>
      <c r="L90" s="57"/>
      <c r="M90" s="56"/>
    </row>
    <row r="91" ht="15.75" customHeight="1">
      <c r="D91" s="55"/>
      <c r="E91" s="55"/>
      <c r="F91" s="43" t="str">
        <f t="shared" si="1"/>
        <v/>
      </c>
      <c r="I91" s="43"/>
      <c r="J91" s="49"/>
      <c r="K91" s="56"/>
      <c r="L91" s="57"/>
      <c r="M91" s="56"/>
    </row>
    <row r="92" ht="15.75" customHeight="1">
      <c r="D92" s="55"/>
      <c r="E92" s="55"/>
      <c r="F92" s="43" t="str">
        <f t="shared" si="1"/>
        <v/>
      </c>
      <c r="I92" s="43"/>
      <c r="J92" s="49"/>
      <c r="K92" s="56"/>
      <c r="L92" s="57"/>
      <c r="M92" s="56"/>
    </row>
    <row r="93" ht="15.75" customHeight="1">
      <c r="D93" s="55"/>
      <c r="E93" s="55"/>
      <c r="F93" s="43" t="str">
        <f t="shared" si="1"/>
        <v/>
      </c>
      <c r="I93" s="43"/>
      <c r="J93" s="49"/>
      <c r="K93" s="56"/>
      <c r="L93" s="57"/>
      <c r="M93" s="56"/>
    </row>
    <row r="94" ht="15.75" customHeight="1">
      <c r="D94" s="55"/>
      <c r="E94" s="55"/>
      <c r="F94" s="43" t="str">
        <f t="shared" si="1"/>
        <v/>
      </c>
      <c r="I94" s="43"/>
      <c r="J94" s="49"/>
      <c r="K94" s="56"/>
      <c r="L94" s="57"/>
      <c r="M94" s="56"/>
    </row>
    <row r="95" ht="15.75" customHeight="1">
      <c r="D95" s="55"/>
      <c r="E95" s="55"/>
      <c r="F95" s="43" t="str">
        <f t="shared" si="1"/>
        <v/>
      </c>
      <c r="I95" s="43"/>
      <c r="J95" s="49"/>
      <c r="K95" s="56"/>
      <c r="L95" s="57"/>
      <c r="M95" s="56"/>
    </row>
    <row r="96" ht="15.75" customHeight="1">
      <c r="D96" s="55"/>
      <c r="E96" s="55"/>
      <c r="F96" s="43" t="str">
        <f t="shared" si="1"/>
        <v/>
      </c>
      <c r="I96" s="43"/>
      <c r="J96" s="49"/>
      <c r="K96" s="56"/>
      <c r="L96" s="57"/>
      <c r="M96" s="56"/>
    </row>
    <row r="97" ht="15.75" customHeight="1">
      <c r="D97" s="55"/>
      <c r="E97" s="55"/>
      <c r="F97" s="43" t="str">
        <f t="shared" si="1"/>
        <v/>
      </c>
      <c r="I97" s="43"/>
      <c r="J97" s="49"/>
      <c r="K97" s="56"/>
      <c r="L97" s="57"/>
      <c r="M97" s="56"/>
    </row>
    <row r="98" ht="15.75" customHeight="1">
      <c r="D98" s="55"/>
      <c r="E98" s="55"/>
      <c r="F98" s="43" t="str">
        <f t="shared" si="1"/>
        <v/>
      </c>
      <c r="I98" s="43"/>
      <c r="J98" s="49"/>
      <c r="K98" s="56"/>
      <c r="L98" s="57"/>
      <c r="M98" s="56"/>
    </row>
    <row r="99" ht="15.75" customHeight="1">
      <c r="D99" s="55"/>
      <c r="E99" s="55"/>
      <c r="F99" s="43" t="str">
        <f t="shared" si="1"/>
        <v/>
      </c>
      <c r="I99" s="43"/>
      <c r="J99" s="49"/>
      <c r="K99" s="56"/>
      <c r="L99" s="57"/>
      <c r="M99" s="56"/>
    </row>
    <row r="100" ht="15.75" customHeight="1">
      <c r="D100" s="55"/>
      <c r="E100" s="55"/>
      <c r="F100" s="43" t="str">
        <f t="shared" si="1"/>
        <v/>
      </c>
      <c r="I100" s="43"/>
      <c r="J100" s="49"/>
      <c r="K100" s="56"/>
      <c r="L100" s="57"/>
      <c r="M100" s="56"/>
    </row>
    <row r="101" ht="15.75" customHeight="1">
      <c r="D101" s="55"/>
      <c r="E101" s="55"/>
      <c r="F101" s="43" t="str">
        <f t="shared" si="1"/>
        <v/>
      </c>
      <c r="I101" s="43"/>
      <c r="J101" s="49"/>
      <c r="K101" s="56"/>
      <c r="L101" s="57"/>
      <c r="M101" s="56"/>
    </row>
    <row r="102" ht="15.75" customHeight="1">
      <c r="D102" s="55"/>
      <c r="E102" s="55"/>
      <c r="F102" s="43" t="str">
        <f t="shared" si="1"/>
        <v/>
      </c>
      <c r="I102" s="43"/>
      <c r="J102" s="49"/>
      <c r="K102" s="56"/>
      <c r="L102" s="57"/>
      <c r="M102" s="56"/>
    </row>
    <row r="103" ht="15.75" customHeight="1">
      <c r="D103" s="55"/>
      <c r="E103" s="55"/>
      <c r="F103" s="43" t="str">
        <f t="shared" si="1"/>
        <v/>
      </c>
      <c r="I103" s="43"/>
      <c r="J103" s="49"/>
      <c r="K103" s="56"/>
      <c r="L103" s="57"/>
      <c r="M103" s="56"/>
    </row>
    <row r="104" ht="15.75" customHeight="1">
      <c r="D104" s="55"/>
      <c r="E104" s="55"/>
      <c r="F104" s="43" t="str">
        <f t="shared" si="1"/>
        <v/>
      </c>
      <c r="I104" s="43"/>
      <c r="J104" s="49"/>
      <c r="K104" s="56"/>
      <c r="L104" s="57"/>
      <c r="M104" s="56"/>
    </row>
    <row r="105" ht="15.75" customHeight="1">
      <c r="D105" s="55"/>
      <c r="E105" s="55"/>
      <c r="F105" s="43" t="str">
        <f t="shared" si="1"/>
        <v/>
      </c>
      <c r="I105" s="43"/>
      <c r="J105" s="49"/>
      <c r="K105" s="56"/>
      <c r="L105" s="57"/>
      <c r="M105" s="56"/>
    </row>
    <row r="106" ht="15.75" customHeight="1">
      <c r="D106" s="55"/>
      <c r="E106" s="55"/>
      <c r="F106" s="43" t="str">
        <f t="shared" si="1"/>
        <v/>
      </c>
      <c r="I106" s="43"/>
      <c r="J106" s="49"/>
      <c r="K106" s="56"/>
      <c r="L106" s="57"/>
      <c r="M106" s="56"/>
    </row>
    <row r="107" ht="15.75" customHeight="1">
      <c r="D107" s="55"/>
      <c r="E107" s="55"/>
      <c r="F107" s="43" t="str">
        <f t="shared" si="1"/>
        <v/>
      </c>
      <c r="I107" s="43"/>
      <c r="J107" s="49"/>
      <c r="K107" s="56"/>
      <c r="L107" s="57"/>
      <c r="M107" s="56"/>
    </row>
    <row r="108" ht="15.75" customHeight="1">
      <c r="D108" s="55"/>
      <c r="E108" s="55"/>
      <c r="F108" s="43" t="str">
        <f t="shared" si="1"/>
        <v/>
      </c>
      <c r="I108" s="43"/>
      <c r="J108" s="49"/>
      <c r="K108" s="56"/>
      <c r="L108" s="57"/>
      <c r="M108" s="56"/>
    </row>
    <row r="109" ht="15.75" customHeight="1">
      <c r="D109" s="55"/>
      <c r="E109" s="55"/>
      <c r="F109" s="43" t="str">
        <f t="shared" si="1"/>
        <v/>
      </c>
      <c r="I109" s="43"/>
      <c r="J109" s="49"/>
      <c r="K109" s="56"/>
      <c r="L109" s="57"/>
      <c r="M109" s="56"/>
    </row>
    <row r="110" ht="15.75" customHeight="1">
      <c r="D110" s="55"/>
      <c r="E110" s="55"/>
      <c r="F110" s="43" t="str">
        <f t="shared" si="1"/>
        <v/>
      </c>
      <c r="I110" s="43"/>
      <c r="J110" s="49"/>
      <c r="K110" s="56"/>
      <c r="L110" s="57"/>
      <c r="M110" s="56"/>
    </row>
    <row r="111" ht="15.75" customHeight="1">
      <c r="D111" s="55"/>
      <c r="E111" s="55"/>
      <c r="F111" s="43" t="str">
        <f t="shared" si="1"/>
        <v/>
      </c>
      <c r="I111" s="43"/>
      <c r="J111" s="49"/>
      <c r="K111" s="56"/>
      <c r="L111" s="57"/>
      <c r="M111" s="56"/>
    </row>
    <row r="112" ht="15.75" customHeight="1">
      <c r="D112" s="55"/>
      <c r="E112" s="55"/>
      <c r="F112" s="43" t="str">
        <f t="shared" si="1"/>
        <v/>
      </c>
      <c r="I112" s="43"/>
      <c r="J112" s="49"/>
      <c r="K112" s="56"/>
      <c r="L112" s="57"/>
      <c r="M112" s="56"/>
    </row>
    <row r="113" ht="15.75" customHeight="1">
      <c r="D113" s="55"/>
      <c r="E113" s="55"/>
      <c r="F113" s="43" t="str">
        <f t="shared" si="1"/>
        <v/>
      </c>
      <c r="I113" s="43"/>
      <c r="J113" s="49"/>
      <c r="K113" s="56"/>
      <c r="L113" s="57"/>
      <c r="M113" s="56"/>
    </row>
    <row r="114" ht="15.75" customHeight="1">
      <c r="D114" s="55"/>
      <c r="E114" s="55"/>
      <c r="F114" s="43" t="str">
        <f t="shared" si="1"/>
        <v/>
      </c>
      <c r="I114" s="43"/>
      <c r="J114" s="49"/>
      <c r="K114" s="56"/>
      <c r="L114" s="57"/>
      <c r="M114" s="56"/>
    </row>
    <row r="115" ht="15.75" customHeight="1">
      <c r="D115" s="55"/>
      <c r="E115" s="55"/>
      <c r="F115" s="43" t="str">
        <f t="shared" si="1"/>
        <v/>
      </c>
      <c r="I115" s="43"/>
      <c r="J115" s="49"/>
      <c r="K115" s="56"/>
      <c r="L115" s="57"/>
      <c r="M115" s="56"/>
    </row>
    <row r="116" ht="15.75" customHeight="1">
      <c r="D116" s="55"/>
      <c r="E116" s="55"/>
      <c r="F116" s="43" t="str">
        <f t="shared" si="1"/>
        <v/>
      </c>
      <c r="I116" s="43"/>
      <c r="J116" s="49"/>
      <c r="K116" s="56"/>
      <c r="L116" s="57"/>
      <c r="M116" s="56"/>
    </row>
    <row r="117" ht="15.75" customHeight="1">
      <c r="D117" s="55"/>
      <c r="E117" s="55"/>
      <c r="F117" s="43" t="str">
        <f t="shared" si="1"/>
        <v/>
      </c>
      <c r="I117" s="43"/>
      <c r="J117" s="49"/>
      <c r="K117" s="56"/>
      <c r="L117" s="57"/>
      <c r="M117" s="56"/>
    </row>
    <row r="118" ht="15.75" customHeight="1">
      <c r="D118" s="55"/>
      <c r="E118" s="55"/>
      <c r="F118" s="43" t="str">
        <f t="shared" si="1"/>
        <v/>
      </c>
      <c r="I118" s="43"/>
      <c r="J118" s="49"/>
      <c r="K118" s="56"/>
      <c r="L118" s="57"/>
      <c r="M118" s="56"/>
    </row>
    <row r="119" ht="15.75" customHeight="1">
      <c r="D119" s="55"/>
      <c r="E119" s="55"/>
      <c r="F119" s="43" t="str">
        <f t="shared" si="1"/>
        <v/>
      </c>
      <c r="I119" s="43"/>
      <c r="J119" s="49"/>
      <c r="K119" s="56"/>
      <c r="L119" s="57"/>
      <c r="M119" s="56"/>
    </row>
    <row r="120" ht="15.75" customHeight="1">
      <c r="D120" s="55"/>
      <c r="E120" s="55"/>
      <c r="F120" s="43" t="str">
        <f t="shared" si="1"/>
        <v/>
      </c>
      <c r="I120" s="43"/>
      <c r="J120" s="49"/>
      <c r="K120" s="56"/>
      <c r="L120" s="57"/>
      <c r="M120" s="56"/>
    </row>
    <row r="121" ht="15.75" customHeight="1">
      <c r="D121" s="55"/>
      <c r="E121" s="55"/>
      <c r="F121" s="43" t="str">
        <f t="shared" si="1"/>
        <v/>
      </c>
      <c r="I121" s="43"/>
      <c r="J121" s="49"/>
      <c r="K121" s="56"/>
      <c r="L121" s="57"/>
      <c r="M121" s="56"/>
    </row>
    <row r="122" ht="15.75" customHeight="1">
      <c r="D122" s="55"/>
      <c r="E122" s="55"/>
      <c r="F122" s="43" t="str">
        <f t="shared" si="1"/>
        <v/>
      </c>
      <c r="I122" s="43"/>
      <c r="J122" s="49"/>
      <c r="K122" s="56"/>
      <c r="L122" s="57"/>
      <c r="M122" s="56"/>
    </row>
    <row r="123" ht="15.75" customHeight="1">
      <c r="D123" s="55"/>
      <c r="E123" s="55"/>
      <c r="F123" s="43" t="str">
        <f t="shared" si="1"/>
        <v/>
      </c>
      <c r="I123" s="43"/>
      <c r="J123" s="49"/>
      <c r="K123" s="56"/>
      <c r="L123" s="57"/>
      <c r="M123" s="56"/>
    </row>
    <row r="124" ht="15.75" customHeight="1">
      <c r="D124" s="55"/>
      <c r="E124" s="55"/>
      <c r="F124" s="43" t="str">
        <f t="shared" si="1"/>
        <v/>
      </c>
      <c r="I124" s="43"/>
      <c r="J124" s="49"/>
      <c r="K124" s="56"/>
      <c r="L124" s="57"/>
      <c r="M124" s="56"/>
    </row>
    <row r="125" ht="15.75" customHeight="1">
      <c r="D125" s="55"/>
      <c r="E125" s="55"/>
      <c r="F125" s="43" t="str">
        <f t="shared" si="1"/>
        <v/>
      </c>
      <c r="I125" s="43"/>
      <c r="J125" s="49"/>
      <c r="K125" s="56"/>
      <c r="L125" s="57"/>
      <c r="M125" s="56"/>
    </row>
    <row r="126" ht="15.75" customHeight="1">
      <c r="D126" s="55"/>
      <c r="E126" s="55"/>
      <c r="F126" s="43" t="str">
        <f t="shared" si="1"/>
        <v/>
      </c>
      <c r="I126" s="43"/>
      <c r="J126" s="49"/>
      <c r="K126" s="56"/>
      <c r="L126" s="57"/>
      <c r="M126" s="56"/>
    </row>
    <row r="127" ht="15.75" customHeight="1">
      <c r="D127" s="55"/>
      <c r="E127" s="55"/>
      <c r="F127" s="43" t="str">
        <f t="shared" si="1"/>
        <v/>
      </c>
      <c r="I127" s="43"/>
      <c r="J127" s="49"/>
      <c r="K127" s="56"/>
      <c r="L127" s="57"/>
      <c r="M127" s="56"/>
    </row>
    <row r="128" ht="15.75" customHeight="1">
      <c r="D128" s="55"/>
      <c r="E128" s="55"/>
      <c r="F128" s="43" t="str">
        <f t="shared" si="1"/>
        <v/>
      </c>
      <c r="I128" s="43"/>
      <c r="J128" s="49"/>
      <c r="K128" s="56"/>
      <c r="L128" s="57"/>
      <c r="M128" s="56"/>
    </row>
    <row r="129" ht="15.75" customHeight="1">
      <c r="D129" s="55"/>
      <c r="E129" s="55"/>
      <c r="F129" s="43" t="str">
        <f t="shared" si="1"/>
        <v/>
      </c>
      <c r="I129" s="43"/>
      <c r="J129" s="49"/>
      <c r="K129" s="56"/>
      <c r="L129" s="57"/>
      <c r="M129" s="56"/>
    </row>
    <row r="130" ht="15.75" customHeight="1">
      <c r="D130" s="55"/>
      <c r="E130" s="55"/>
      <c r="F130" s="43" t="str">
        <f t="shared" si="1"/>
        <v/>
      </c>
      <c r="I130" s="43"/>
      <c r="J130" s="49"/>
      <c r="K130" s="56"/>
      <c r="L130" s="57"/>
      <c r="M130" s="56"/>
    </row>
    <row r="131" ht="15.75" customHeight="1">
      <c r="D131" s="55"/>
      <c r="E131" s="55"/>
      <c r="F131" s="43" t="str">
        <f t="shared" si="1"/>
        <v/>
      </c>
      <c r="I131" s="43"/>
      <c r="J131" s="49"/>
      <c r="K131" s="56"/>
      <c r="L131" s="57"/>
      <c r="M131" s="56"/>
    </row>
    <row r="132" ht="15.75" customHeight="1">
      <c r="D132" s="55"/>
      <c r="E132" s="55"/>
      <c r="F132" s="43" t="str">
        <f t="shared" si="1"/>
        <v/>
      </c>
      <c r="I132" s="43"/>
      <c r="J132" s="49"/>
      <c r="K132" s="56"/>
      <c r="L132" s="57"/>
      <c r="M132" s="56"/>
    </row>
    <row r="133" ht="15.75" customHeight="1">
      <c r="D133" s="55"/>
      <c r="E133" s="55"/>
      <c r="F133" s="43" t="str">
        <f t="shared" si="1"/>
        <v/>
      </c>
      <c r="I133" s="43"/>
      <c r="J133" s="49"/>
      <c r="K133" s="56"/>
      <c r="L133" s="57"/>
      <c r="M133" s="56"/>
    </row>
    <row r="134" ht="15.75" customHeight="1">
      <c r="D134" s="55"/>
      <c r="E134" s="55"/>
      <c r="F134" s="43" t="str">
        <f t="shared" si="1"/>
        <v/>
      </c>
      <c r="I134" s="43"/>
      <c r="J134" s="49"/>
      <c r="K134" s="56"/>
      <c r="L134" s="57"/>
      <c r="M134" s="56"/>
    </row>
    <row r="135" ht="15.75" customHeight="1">
      <c r="D135" s="55"/>
      <c r="E135" s="55"/>
      <c r="F135" s="43" t="str">
        <f t="shared" si="1"/>
        <v/>
      </c>
      <c r="I135" s="43"/>
      <c r="J135" s="49"/>
      <c r="K135" s="56"/>
      <c r="L135" s="57"/>
      <c r="M135" s="56"/>
    </row>
    <row r="136" ht="15.75" customHeight="1">
      <c r="D136" s="55"/>
      <c r="E136" s="55"/>
      <c r="F136" s="43" t="str">
        <f t="shared" si="1"/>
        <v/>
      </c>
      <c r="I136" s="43"/>
      <c r="J136" s="49"/>
      <c r="K136" s="56"/>
      <c r="L136" s="57"/>
      <c r="M136" s="56"/>
    </row>
    <row r="137" ht="15.75" customHeight="1">
      <c r="D137" s="55"/>
      <c r="E137" s="55"/>
      <c r="F137" s="43" t="str">
        <f t="shared" si="1"/>
        <v/>
      </c>
      <c r="I137" s="43"/>
      <c r="J137" s="49"/>
      <c r="K137" s="56"/>
      <c r="L137" s="57"/>
      <c r="M137" s="56"/>
    </row>
    <row r="138" ht="15.75" customHeight="1">
      <c r="D138" s="55"/>
      <c r="E138" s="55"/>
      <c r="F138" s="43" t="str">
        <f t="shared" si="1"/>
        <v/>
      </c>
      <c r="I138" s="43"/>
      <c r="J138" s="49"/>
      <c r="K138" s="56"/>
      <c r="L138" s="57"/>
      <c r="M138" s="56"/>
    </row>
    <row r="139" ht="15.75" customHeight="1">
      <c r="D139" s="55"/>
      <c r="E139" s="55"/>
      <c r="F139" s="43" t="str">
        <f t="shared" si="1"/>
        <v/>
      </c>
      <c r="I139" s="43"/>
      <c r="J139" s="49"/>
      <c r="K139" s="56"/>
      <c r="L139" s="57"/>
      <c r="M139" s="56"/>
    </row>
    <row r="140" ht="15.75" customHeight="1">
      <c r="D140" s="55"/>
      <c r="E140" s="55"/>
      <c r="F140" s="43" t="str">
        <f t="shared" si="1"/>
        <v/>
      </c>
      <c r="I140" s="43"/>
      <c r="J140" s="49"/>
      <c r="K140" s="56"/>
      <c r="L140" s="57"/>
      <c r="M140" s="56"/>
    </row>
    <row r="141" ht="15.75" customHeight="1">
      <c r="D141" s="55"/>
      <c r="E141" s="55"/>
      <c r="F141" s="43" t="str">
        <f t="shared" si="1"/>
        <v/>
      </c>
      <c r="I141" s="43"/>
      <c r="J141" s="49"/>
      <c r="K141" s="56"/>
      <c r="L141" s="57"/>
      <c r="M141" s="56"/>
    </row>
    <row r="142" ht="15.75" customHeight="1">
      <c r="D142" s="55"/>
      <c r="E142" s="55"/>
      <c r="F142" s="43" t="str">
        <f t="shared" si="1"/>
        <v/>
      </c>
      <c r="I142" s="43"/>
      <c r="J142" s="49"/>
      <c r="K142" s="56"/>
      <c r="L142" s="57"/>
      <c r="M142" s="56"/>
    </row>
    <row r="143" ht="15.75" customHeight="1">
      <c r="D143" s="55"/>
      <c r="E143" s="55"/>
      <c r="F143" s="43" t="str">
        <f t="shared" si="1"/>
        <v/>
      </c>
      <c r="I143" s="43"/>
      <c r="J143" s="49"/>
      <c r="K143" s="56"/>
      <c r="L143" s="57"/>
      <c r="M143" s="56"/>
    </row>
    <row r="144" ht="15.75" customHeight="1">
      <c r="D144" s="55"/>
      <c r="E144" s="55"/>
      <c r="F144" s="43" t="str">
        <f t="shared" si="1"/>
        <v/>
      </c>
      <c r="I144" s="43"/>
      <c r="J144" s="49"/>
      <c r="K144" s="56"/>
      <c r="L144" s="57"/>
      <c r="M144" s="56"/>
    </row>
    <row r="145" ht="15.75" customHeight="1">
      <c r="D145" s="55"/>
      <c r="E145" s="55"/>
      <c r="F145" s="43" t="str">
        <f t="shared" si="1"/>
        <v/>
      </c>
      <c r="I145" s="43"/>
      <c r="J145" s="49"/>
      <c r="K145" s="56"/>
      <c r="L145" s="57"/>
      <c r="M145" s="56"/>
    </row>
    <row r="146" ht="15.75" customHeight="1">
      <c r="D146" s="55"/>
      <c r="E146" s="55"/>
      <c r="F146" s="43" t="str">
        <f t="shared" si="1"/>
        <v/>
      </c>
      <c r="I146" s="43"/>
      <c r="J146" s="49"/>
      <c r="K146" s="56"/>
      <c r="L146" s="57"/>
      <c r="M146" s="56"/>
    </row>
    <row r="147" ht="15.75" customHeight="1">
      <c r="D147" s="55"/>
      <c r="E147" s="55"/>
      <c r="F147" s="43" t="str">
        <f t="shared" si="1"/>
        <v/>
      </c>
      <c r="I147" s="43"/>
      <c r="J147" s="49"/>
      <c r="K147" s="56"/>
      <c r="L147" s="57"/>
      <c r="M147" s="56"/>
    </row>
    <row r="148" ht="15.75" customHeight="1">
      <c r="D148" s="55"/>
      <c r="E148" s="55"/>
      <c r="F148" s="43" t="str">
        <f t="shared" si="1"/>
        <v/>
      </c>
      <c r="I148" s="43"/>
      <c r="J148" s="49"/>
      <c r="K148" s="56"/>
      <c r="L148" s="57"/>
      <c r="M148" s="56"/>
    </row>
    <row r="149" ht="15.75" customHeight="1">
      <c r="D149" s="55"/>
      <c r="E149" s="55"/>
      <c r="F149" s="43" t="str">
        <f t="shared" si="1"/>
        <v/>
      </c>
      <c r="I149" s="43"/>
      <c r="J149" s="49"/>
      <c r="K149" s="56"/>
      <c r="L149" s="57"/>
      <c r="M149" s="56"/>
    </row>
    <row r="150" ht="15.75" customHeight="1">
      <c r="D150" s="55"/>
      <c r="E150" s="55"/>
      <c r="F150" s="43" t="str">
        <f t="shared" si="1"/>
        <v/>
      </c>
      <c r="I150" s="43"/>
      <c r="J150" s="49"/>
      <c r="K150" s="56"/>
      <c r="L150" s="57"/>
      <c r="M150" s="56"/>
    </row>
    <row r="151" ht="15.75" customHeight="1">
      <c r="D151" s="55"/>
      <c r="E151" s="55"/>
      <c r="F151" s="43" t="str">
        <f t="shared" si="1"/>
        <v/>
      </c>
      <c r="I151" s="43"/>
      <c r="J151" s="49"/>
      <c r="K151" s="56"/>
      <c r="L151" s="57"/>
      <c r="M151" s="56"/>
    </row>
    <row r="152" ht="15.75" customHeight="1">
      <c r="D152" s="55"/>
      <c r="E152" s="55"/>
      <c r="F152" s="43" t="str">
        <f t="shared" si="1"/>
        <v/>
      </c>
      <c r="I152" s="43"/>
      <c r="J152" s="49"/>
      <c r="K152" s="56"/>
      <c r="L152" s="57"/>
      <c r="M152" s="56"/>
    </row>
    <row r="153" ht="15.75" customHeight="1">
      <c r="D153" s="55"/>
      <c r="E153" s="55"/>
      <c r="F153" s="43" t="str">
        <f t="shared" si="1"/>
        <v/>
      </c>
      <c r="I153" s="43"/>
      <c r="J153" s="49"/>
      <c r="K153" s="56"/>
      <c r="L153" s="57"/>
      <c r="M153" s="56"/>
    </row>
    <row r="154" ht="15.75" customHeight="1">
      <c r="D154" s="55"/>
      <c r="E154" s="55"/>
      <c r="F154" s="43" t="str">
        <f t="shared" si="1"/>
        <v/>
      </c>
      <c r="I154" s="43"/>
      <c r="J154" s="49"/>
      <c r="K154" s="56"/>
      <c r="L154" s="57"/>
      <c r="M154" s="56"/>
    </row>
    <row r="155" ht="15.75" customHeight="1">
      <c r="D155" s="55"/>
      <c r="E155" s="55"/>
      <c r="F155" s="43" t="str">
        <f t="shared" si="1"/>
        <v/>
      </c>
      <c r="I155" s="43"/>
      <c r="J155" s="49"/>
      <c r="K155" s="56"/>
      <c r="L155" s="57"/>
      <c r="M155" s="56"/>
    </row>
    <row r="156" ht="15.75" customHeight="1">
      <c r="D156" s="55"/>
      <c r="E156" s="55"/>
      <c r="F156" s="43" t="str">
        <f t="shared" si="1"/>
        <v/>
      </c>
      <c r="I156" s="43"/>
      <c r="J156" s="49"/>
      <c r="K156" s="56"/>
      <c r="L156" s="57"/>
      <c r="M156" s="56"/>
    </row>
    <row r="157" ht="15.75" customHeight="1">
      <c r="D157" s="55"/>
      <c r="E157" s="55"/>
      <c r="F157" s="43" t="str">
        <f t="shared" si="1"/>
        <v/>
      </c>
      <c r="I157" s="43"/>
      <c r="J157" s="49"/>
      <c r="K157" s="56"/>
      <c r="L157" s="57"/>
      <c r="M157" s="56"/>
    </row>
    <row r="158" ht="15.75" customHeight="1">
      <c r="D158" s="55"/>
      <c r="E158" s="55"/>
      <c r="F158" s="43" t="str">
        <f t="shared" si="1"/>
        <v/>
      </c>
      <c r="I158" s="43"/>
      <c r="J158" s="49"/>
      <c r="K158" s="56"/>
      <c r="L158" s="57"/>
      <c r="M158" s="56"/>
    </row>
    <row r="159" ht="15.75" customHeight="1">
      <c r="D159" s="55"/>
      <c r="E159" s="55"/>
      <c r="F159" s="43" t="str">
        <f t="shared" si="1"/>
        <v/>
      </c>
      <c r="I159" s="43"/>
      <c r="J159" s="49"/>
      <c r="K159" s="56"/>
      <c r="L159" s="57"/>
      <c r="M159" s="56"/>
    </row>
    <row r="160" ht="15.75" customHeight="1">
      <c r="D160" s="55"/>
      <c r="E160" s="55"/>
      <c r="F160" s="43" t="str">
        <f t="shared" si="1"/>
        <v/>
      </c>
      <c r="I160" s="43"/>
      <c r="J160" s="49"/>
      <c r="K160" s="56"/>
      <c r="L160" s="57"/>
      <c r="M160" s="56"/>
    </row>
    <row r="161" ht="15.75" customHeight="1">
      <c r="D161" s="55"/>
      <c r="E161" s="55"/>
      <c r="F161" s="43" t="str">
        <f t="shared" si="1"/>
        <v/>
      </c>
      <c r="I161" s="43"/>
      <c r="J161" s="49"/>
      <c r="K161" s="56"/>
      <c r="L161" s="57"/>
      <c r="M161" s="56"/>
    </row>
    <row r="162" ht="15.75" customHeight="1">
      <c r="D162" s="55"/>
      <c r="E162" s="55"/>
      <c r="F162" s="43" t="str">
        <f t="shared" si="1"/>
        <v/>
      </c>
      <c r="I162" s="43"/>
      <c r="J162" s="49"/>
      <c r="K162" s="56"/>
      <c r="L162" s="57"/>
      <c r="M162" s="56"/>
    </row>
    <row r="163" ht="15.75" customHeight="1">
      <c r="D163" s="55"/>
      <c r="E163" s="55"/>
      <c r="F163" s="43" t="str">
        <f t="shared" si="1"/>
        <v/>
      </c>
      <c r="I163" s="43"/>
      <c r="J163" s="49"/>
      <c r="K163" s="56"/>
      <c r="L163" s="57"/>
      <c r="M163" s="56"/>
    </row>
    <row r="164" ht="15.75" customHeight="1">
      <c r="D164" s="55"/>
      <c r="E164" s="55"/>
      <c r="F164" s="43" t="str">
        <f t="shared" si="1"/>
        <v/>
      </c>
      <c r="I164" s="43"/>
      <c r="J164" s="49"/>
      <c r="K164" s="56"/>
      <c r="L164" s="57"/>
      <c r="M164" s="56"/>
    </row>
    <row r="165" ht="15.75" customHeight="1">
      <c r="D165" s="55"/>
      <c r="E165" s="55"/>
      <c r="F165" s="43" t="str">
        <f t="shared" si="1"/>
        <v/>
      </c>
      <c r="I165" s="43"/>
      <c r="J165" s="49"/>
      <c r="K165" s="56"/>
      <c r="L165" s="57"/>
      <c r="M165" s="56"/>
    </row>
    <row r="166" ht="15.75" customHeight="1">
      <c r="D166" s="55"/>
      <c r="E166" s="55"/>
      <c r="F166" s="43" t="str">
        <f t="shared" si="1"/>
        <v/>
      </c>
      <c r="I166" s="43"/>
      <c r="J166" s="49"/>
      <c r="K166" s="56"/>
      <c r="L166" s="57"/>
      <c r="M166" s="56"/>
    </row>
    <row r="167" ht="15.75" customHeight="1">
      <c r="D167" s="55"/>
      <c r="E167" s="55"/>
      <c r="F167" s="43" t="str">
        <f t="shared" si="1"/>
        <v/>
      </c>
      <c r="I167" s="43"/>
      <c r="J167" s="49"/>
      <c r="K167" s="56"/>
      <c r="L167" s="57"/>
      <c r="M167" s="56"/>
    </row>
    <row r="168" ht="15.75" customHeight="1">
      <c r="D168" s="55"/>
      <c r="E168" s="55"/>
      <c r="F168" s="43" t="str">
        <f t="shared" si="1"/>
        <v/>
      </c>
      <c r="I168" s="43"/>
      <c r="J168" s="49"/>
      <c r="K168" s="56"/>
      <c r="L168" s="57"/>
      <c r="M168" s="56"/>
    </row>
    <row r="169" ht="15.75" customHeight="1">
      <c r="D169" s="55"/>
      <c r="E169" s="55"/>
      <c r="F169" s="43" t="str">
        <f t="shared" si="1"/>
        <v/>
      </c>
      <c r="I169" s="43"/>
      <c r="J169" s="49"/>
      <c r="K169" s="56"/>
      <c r="L169" s="57"/>
      <c r="M169" s="56"/>
    </row>
    <row r="170" ht="15.75" customHeight="1">
      <c r="D170" s="55"/>
      <c r="E170" s="55"/>
      <c r="F170" s="43" t="str">
        <f t="shared" si="1"/>
        <v/>
      </c>
      <c r="I170" s="43"/>
      <c r="J170" s="49"/>
      <c r="K170" s="56"/>
      <c r="L170" s="57"/>
      <c r="M170" s="56"/>
    </row>
    <row r="171" ht="15.75" customHeight="1">
      <c r="D171" s="55"/>
      <c r="E171" s="55"/>
      <c r="F171" s="43" t="str">
        <f t="shared" si="1"/>
        <v/>
      </c>
      <c r="I171" s="43"/>
      <c r="J171" s="49"/>
      <c r="K171" s="56"/>
      <c r="L171" s="57"/>
      <c r="M171" s="56"/>
    </row>
    <row r="172" ht="15.75" customHeight="1">
      <c r="D172" s="55"/>
      <c r="E172" s="55"/>
      <c r="F172" s="43" t="str">
        <f t="shared" si="1"/>
        <v/>
      </c>
      <c r="I172" s="43"/>
      <c r="J172" s="49"/>
      <c r="K172" s="56"/>
      <c r="L172" s="57"/>
      <c r="M172" s="56"/>
    </row>
    <row r="173" ht="15.75" customHeight="1">
      <c r="D173" s="55"/>
      <c r="E173" s="55"/>
      <c r="F173" s="43" t="str">
        <f t="shared" si="1"/>
        <v/>
      </c>
      <c r="I173" s="43"/>
      <c r="J173" s="49"/>
      <c r="K173" s="56"/>
      <c r="L173" s="57"/>
      <c r="M173" s="56"/>
    </row>
    <row r="174" ht="15.75" customHeight="1">
      <c r="D174" s="55"/>
      <c r="E174" s="55"/>
      <c r="F174" s="43" t="str">
        <f t="shared" si="1"/>
        <v/>
      </c>
      <c r="I174" s="43"/>
      <c r="J174" s="49"/>
      <c r="K174" s="56"/>
      <c r="L174" s="57"/>
      <c r="M174" s="56"/>
    </row>
    <row r="175" ht="15.75" customHeight="1">
      <c r="D175" s="55"/>
      <c r="E175" s="55"/>
      <c r="F175" s="43" t="str">
        <f t="shared" si="1"/>
        <v/>
      </c>
      <c r="I175" s="43"/>
      <c r="J175" s="49"/>
      <c r="K175" s="56"/>
      <c r="L175" s="57"/>
      <c r="M175" s="56"/>
    </row>
    <row r="176" ht="15.75" customHeight="1">
      <c r="D176" s="55"/>
      <c r="E176" s="55"/>
      <c r="F176" s="43" t="str">
        <f t="shared" si="1"/>
        <v/>
      </c>
      <c r="I176" s="43"/>
      <c r="J176" s="49"/>
      <c r="K176" s="56"/>
      <c r="L176" s="57"/>
      <c r="M176" s="56"/>
    </row>
    <row r="177" ht="15.75" customHeight="1">
      <c r="D177" s="55"/>
      <c r="E177" s="55"/>
      <c r="F177" s="43" t="str">
        <f t="shared" si="1"/>
        <v/>
      </c>
      <c r="I177" s="43"/>
      <c r="J177" s="49"/>
      <c r="K177" s="56"/>
      <c r="L177" s="57"/>
      <c r="M177" s="56"/>
    </row>
    <row r="178" ht="15.75" customHeight="1">
      <c r="D178" s="55"/>
      <c r="E178" s="55"/>
      <c r="F178" s="43" t="str">
        <f t="shared" si="1"/>
        <v/>
      </c>
      <c r="I178" s="43"/>
      <c r="J178" s="49"/>
      <c r="K178" s="56"/>
      <c r="L178" s="57"/>
      <c r="M178" s="56"/>
    </row>
    <row r="179" ht="15.75" customHeight="1">
      <c r="D179" s="55"/>
      <c r="E179" s="55"/>
      <c r="F179" s="43" t="str">
        <f t="shared" si="1"/>
        <v/>
      </c>
      <c r="I179" s="43"/>
      <c r="J179" s="49"/>
      <c r="K179" s="56"/>
      <c r="L179" s="57"/>
      <c r="M179" s="56"/>
    </row>
    <row r="180" ht="15.75" customHeight="1">
      <c r="D180" s="55"/>
      <c r="E180" s="55"/>
      <c r="F180" s="43" t="str">
        <f t="shared" si="1"/>
        <v/>
      </c>
      <c r="I180" s="43"/>
      <c r="J180" s="49"/>
      <c r="K180" s="56"/>
      <c r="L180" s="57"/>
      <c r="M180" s="56"/>
    </row>
    <row r="181" ht="15.75" customHeight="1">
      <c r="D181" s="55"/>
      <c r="E181" s="55"/>
      <c r="F181" s="43" t="str">
        <f t="shared" si="1"/>
        <v/>
      </c>
      <c r="I181" s="43"/>
      <c r="J181" s="49"/>
      <c r="K181" s="56"/>
      <c r="L181" s="57"/>
      <c r="M181" s="56"/>
    </row>
    <row r="182" ht="15.75" customHeight="1">
      <c r="D182" s="55"/>
      <c r="E182" s="55"/>
      <c r="F182" s="43" t="str">
        <f t="shared" si="1"/>
        <v/>
      </c>
      <c r="I182" s="43"/>
      <c r="J182" s="49"/>
      <c r="K182" s="56"/>
      <c r="L182" s="57"/>
      <c r="M182" s="56"/>
    </row>
    <row r="183" ht="15.75" customHeight="1">
      <c r="D183" s="55"/>
      <c r="E183" s="55"/>
      <c r="F183" s="43" t="str">
        <f t="shared" si="1"/>
        <v/>
      </c>
      <c r="I183" s="43"/>
      <c r="J183" s="49"/>
      <c r="K183" s="56"/>
      <c r="L183" s="57"/>
      <c r="M183" s="56"/>
    </row>
    <row r="184" ht="15.75" customHeight="1">
      <c r="D184" s="55"/>
      <c r="E184" s="55"/>
      <c r="F184" s="43" t="str">
        <f t="shared" si="1"/>
        <v/>
      </c>
      <c r="I184" s="43"/>
      <c r="J184" s="49"/>
      <c r="K184" s="56"/>
      <c r="L184" s="57"/>
      <c r="M184" s="56"/>
    </row>
    <row r="185" ht="15.75" customHeight="1">
      <c r="D185" s="55"/>
      <c r="E185" s="55"/>
      <c r="F185" s="43" t="str">
        <f t="shared" si="1"/>
        <v/>
      </c>
      <c r="I185" s="43"/>
      <c r="J185" s="49"/>
      <c r="K185" s="56"/>
      <c r="L185" s="57"/>
      <c r="M185" s="56"/>
    </row>
    <row r="186" ht="15.75" customHeight="1">
      <c r="D186" s="55"/>
      <c r="E186" s="55"/>
      <c r="F186" s="43" t="str">
        <f t="shared" si="1"/>
        <v/>
      </c>
      <c r="I186" s="43"/>
      <c r="J186" s="49"/>
      <c r="K186" s="56"/>
      <c r="L186" s="57"/>
      <c r="M186" s="56"/>
    </row>
    <row r="187" ht="15.75" customHeight="1">
      <c r="D187" s="55"/>
      <c r="E187" s="55"/>
      <c r="F187" s="43" t="str">
        <f t="shared" si="1"/>
        <v/>
      </c>
      <c r="I187" s="43"/>
      <c r="J187" s="49"/>
      <c r="K187" s="56"/>
      <c r="L187" s="57"/>
      <c r="M187" s="56"/>
    </row>
    <row r="188" ht="15.75" customHeight="1">
      <c r="D188" s="55"/>
      <c r="E188" s="55"/>
      <c r="F188" s="43" t="str">
        <f t="shared" si="1"/>
        <v/>
      </c>
      <c r="I188" s="43"/>
      <c r="J188" s="49"/>
      <c r="K188" s="56"/>
      <c r="L188" s="57"/>
      <c r="M188" s="56"/>
    </row>
    <row r="189" ht="15.75" customHeight="1">
      <c r="D189" s="55"/>
      <c r="E189" s="55"/>
      <c r="F189" s="43" t="str">
        <f t="shared" si="1"/>
        <v/>
      </c>
      <c r="I189" s="43"/>
      <c r="J189" s="49"/>
      <c r="K189" s="56"/>
      <c r="L189" s="57"/>
      <c r="M189" s="56"/>
    </row>
    <row r="190" ht="15.75" customHeight="1">
      <c r="D190" s="55"/>
      <c r="E190" s="55"/>
      <c r="F190" s="43" t="str">
        <f t="shared" si="1"/>
        <v/>
      </c>
      <c r="I190" s="43"/>
      <c r="J190" s="49"/>
      <c r="K190" s="56"/>
      <c r="L190" s="57"/>
      <c r="M190" s="56"/>
    </row>
    <row r="191" ht="15.75" customHeight="1">
      <c r="D191" s="55"/>
      <c r="E191" s="55"/>
      <c r="F191" s="43" t="str">
        <f t="shared" si="1"/>
        <v/>
      </c>
      <c r="I191" s="43"/>
      <c r="J191" s="49"/>
      <c r="K191" s="56"/>
      <c r="L191" s="57"/>
      <c r="M191" s="56"/>
    </row>
    <row r="192" ht="15.75" customHeight="1">
      <c r="D192" s="55"/>
      <c r="E192" s="55"/>
      <c r="F192" s="43" t="str">
        <f t="shared" si="1"/>
        <v/>
      </c>
      <c r="I192" s="43"/>
      <c r="J192" s="49"/>
      <c r="K192" s="56"/>
      <c r="L192" s="57"/>
      <c r="M192" s="56"/>
    </row>
    <row r="193" ht="15.75" customHeight="1">
      <c r="D193" s="55"/>
      <c r="E193" s="55"/>
      <c r="F193" s="43" t="str">
        <f t="shared" si="1"/>
        <v/>
      </c>
      <c r="I193" s="43"/>
      <c r="J193" s="49"/>
      <c r="K193" s="56"/>
      <c r="L193" s="57"/>
      <c r="M193" s="56"/>
    </row>
    <row r="194" ht="15.75" customHeight="1">
      <c r="D194" s="55"/>
      <c r="E194" s="55"/>
      <c r="F194" s="43" t="str">
        <f t="shared" si="1"/>
        <v/>
      </c>
      <c r="I194" s="43"/>
      <c r="J194" s="49"/>
      <c r="K194" s="56"/>
      <c r="L194" s="57"/>
      <c r="M194" s="56"/>
    </row>
    <row r="195" ht="15.75" customHeight="1">
      <c r="D195" s="55"/>
      <c r="E195" s="55"/>
      <c r="F195" s="43" t="str">
        <f t="shared" si="1"/>
        <v/>
      </c>
      <c r="I195" s="43"/>
      <c r="J195" s="49"/>
      <c r="K195" s="56"/>
      <c r="L195" s="57"/>
      <c r="M195" s="56"/>
    </row>
    <row r="196" ht="15.75" customHeight="1">
      <c r="D196" s="55"/>
      <c r="E196" s="55"/>
      <c r="F196" s="43" t="str">
        <f t="shared" si="1"/>
        <v/>
      </c>
      <c r="I196" s="43"/>
      <c r="J196" s="49"/>
      <c r="K196" s="56"/>
      <c r="L196" s="57"/>
      <c r="M196" s="56"/>
    </row>
    <row r="197" ht="15.75" customHeight="1">
      <c r="D197" s="55"/>
      <c r="E197" s="55"/>
      <c r="F197" s="43" t="str">
        <f t="shared" si="1"/>
        <v/>
      </c>
      <c r="I197" s="43"/>
      <c r="J197" s="49"/>
      <c r="K197" s="56"/>
      <c r="L197" s="57"/>
      <c r="M197" s="56"/>
    </row>
    <row r="198" ht="15.75" customHeight="1">
      <c r="D198" s="55"/>
      <c r="E198" s="55"/>
      <c r="F198" s="43" t="str">
        <f t="shared" si="1"/>
        <v/>
      </c>
      <c r="I198" s="43"/>
      <c r="J198" s="49"/>
      <c r="K198" s="56"/>
      <c r="L198" s="57"/>
      <c r="M198" s="56"/>
    </row>
    <row r="199" ht="15.75" customHeight="1">
      <c r="D199" s="55"/>
      <c r="E199" s="55"/>
      <c r="F199" s="43" t="str">
        <f t="shared" si="1"/>
        <v/>
      </c>
      <c r="I199" s="43"/>
      <c r="J199" s="49"/>
      <c r="K199" s="56"/>
      <c r="L199" s="57"/>
      <c r="M199" s="56"/>
    </row>
    <row r="200" ht="15.75" customHeight="1">
      <c r="D200" s="55"/>
      <c r="E200" s="55"/>
      <c r="F200" s="43" t="str">
        <f t="shared" si="1"/>
        <v/>
      </c>
      <c r="I200" s="43"/>
      <c r="J200" s="49"/>
      <c r="K200" s="56"/>
      <c r="L200" s="57"/>
      <c r="M200" s="56"/>
    </row>
    <row r="201" ht="15.75" customHeight="1">
      <c r="D201" s="55"/>
      <c r="E201" s="55"/>
      <c r="F201" s="43" t="str">
        <f t="shared" si="1"/>
        <v/>
      </c>
      <c r="I201" s="43"/>
      <c r="J201" s="49"/>
      <c r="K201" s="56"/>
      <c r="L201" s="57"/>
      <c r="M201" s="56"/>
    </row>
    <row r="202" ht="15.75" customHeight="1">
      <c r="D202" s="55"/>
      <c r="E202" s="55"/>
      <c r="F202" s="43" t="str">
        <f t="shared" si="1"/>
        <v/>
      </c>
      <c r="I202" s="43"/>
      <c r="J202" s="49"/>
      <c r="K202" s="56"/>
      <c r="L202" s="57"/>
      <c r="M202" s="56"/>
    </row>
    <row r="203" ht="15.75" customHeight="1">
      <c r="D203" s="55"/>
      <c r="E203" s="55"/>
      <c r="F203" s="43" t="str">
        <f t="shared" si="1"/>
        <v/>
      </c>
      <c r="I203" s="43"/>
      <c r="J203" s="49"/>
      <c r="K203" s="56"/>
      <c r="L203" s="57"/>
      <c r="M203" s="56"/>
    </row>
    <row r="204" ht="15.75" customHeight="1">
      <c r="D204" s="55"/>
      <c r="E204" s="55"/>
      <c r="F204" s="43" t="str">
        <f t="shared" si="1"/>
        <v/>
      </c>
      <c r="I204" s="43"/>
      <c r="J204" s="49"/>
      <c r="K204" s="56"/>
      <c r="L204" s="57"/>
      <c r="M204" s="56"/>
    </row>
    <row r="205" ht="15.75" customHeight="1">
      <c r="I205" s="43"/>
      <c r="K205" s="56"/>
      <c r="L205" s="57"/>
      <c r="M205" s="56"/>
    </row>
    <row r="206" ht="15.75" customHeight="1">
      <c r="I206" s="43"/>
      <c r="K206" s="56"/>
      <c r="L206" s="57"/>
      <c r="M206" s="56"/>
    </row>
    <row r="207" ht="15.75" customHeight="1">
      <c r="I207" s="43"/>
      <c r="K207" s="56"/>
      <c r="L207" s="57"/>
      <c r="M207" s="56"/>
    </row>
    <row r="208" ht="15.75" customHeight="1">
      <c r="I208" s="43"/>
      <c r="K208" s="56"/>
      <c r="L208" s="57"/>
      <c r="M208" s="56"/>
    </row>
    <row r="209" ht="15.75" customHeight="1">
      <c r="I209" s="43"/>
      <c r="K209" s="56"/>
      <c r="L209" s="57"/>
      <c r="M209" s="56"/>
    </row>
    <row r="210" ht="15.75" customHeight="1">
      <c r="I210" s="43"/>
      <c r="K210" s="56"/>
      <c r="L210" s="57"/>
      <c r="M210" s="56"/>
    </row>
    <row r="211" ht="15.75" customHeight="1">
      <c r="I211" s="43"/>
      <c r="K211" s="56"/>
      <c r="L211" s="57"/>
      <c r="M211" s="56"/>
    </row>
    <row r="212" ht="15.75" customHeight="1">
      <c r="I212" s="43"/>
      <c r="K212" s="56"/>
      <c r="L212" s="57"/>
      <c r="M212" s="56"/>
    </row>
    <row r="213" ht="15.75" customHeight="1">
      <c r="I213" s="43"/>
      <c r="K213" s="56"/>
      <c r="L213" s="57"/>
      <c r="M213" s="56"/>
    </row>
    <row r="214" ht="15.75" customHeight="1">
      <c r="I214" s="43"/>
      <c r="K214" s="56"/>
      <c r="L214" s="57"/>
      <c r="M214" s="56"/>
    </row>
    <row r="215" ht="15.75" customHeight="1">
      <c r="I215" s="43"/>
      <c r="K215" s="56"/>
      <c r="L215" s="57"/>
      <c r="M215" s="56"/>
    </row>
    <row r="216" ht="15.75" customHeight="1">
      <c r="I216" s="43"/>
      <c r="K216" s="56"/>
      <c r="L216" s="57"/>
      <c r="M216" s="56"/>
    </row>
    <row r="217" ht="15.75" customHeight="1">
      <c r="I217" s="43"/>
      <c r="K217" s="56"/>
      <c r="L217" s="57"/>
      <c r="M217" s="56"/>
    </row>
    <row r="218" ht="15.75" customHeight="1">
      <c r="I218" s="43"/>
      <c r="K218" s="56"/>
      <c r="L218" s="57"/>
      <c r="M218" s="56"/>
    </row>
    <row r="219" ht="15.75" customHeight="1">
      <c r="I219" s="43"/>
      <c r="K219" s="56"/>
      <c r="L219" s="57"/>
      <c r="M219" s="56"/>
    </row>
    <row r="220" ht="15.75" customHeight="1">
      <c r="I220" s="43"/>
      <c r="K220" s="56"/>
      <c r="L220" s="57"/>
      <c r="M220" s="56"/>
    </row>
    <row r="221" ht="15.75" customHeight="1">
      <c r="I221" s="43"/>
      <c r="K221" s="56"/>
      <c r="L221" s="57"/>
      <c r="M221" s="56"/>
    </row>
    <row r="222" ht="15.75" customHeight="1">
      <c r="I222" s="43"/>
      <c r="K222" s="56"/>
      <c r="L222" s="57"/>
      <c r="M222" s="56"/>
    </row>
    <row r="223" ht="15.75" customHeight="1">
      <c r="I223" s="43"/>
      <c r="K223" s="56"/>
      <c r="L223" s="57"/>
      <c r="M223" s="56"/>
    </row>
    <row r="224" ht="15.75" customHeight="1">
      <c r="I224" s="43"/>
      <c r="K224" s="56"/>
      <c r="L224" s="57"/>
      <c r="M224" s="56"/>
    </row>
    <row r="225" ht="15.75" customHeight="1">
      <c r="I225" s="43"/>
      <c r="K225" s="56"/>
      <c r="L225" s="57"/>
      <c r="M225" s="56"/>
    </row>
    <row r="226" ht="15.75" customHeight="1">
      <c r="I226" s="43"/>
      <c r="K226" s="56"/>
      <c r="L226" s="57"/>
      <c r="M226" s="56"/>
    </row>
    <row r="227" ht="15.75" customHeight="1">
      <c r="I227" s="43"/>
      <c r="K227" s="56"/>
      <c r="L227" s="57"/>
      <c r="M227" s="56"/>
    </row>
    <row r="228" ht="15.75" customHeight="1">
      <c r="I228" s="43"/>
      <c r="K228" s="56"/>
      <c r="L228" s="57"/>
      <c r="M228" s="56"/>
    </row>
    <row r="229" ht="15.75" customHeight="1">
      <c r="I229" s="43"/>
      <c r="K229" s="56"/>
      <c r="L229" s="57"/>
      <c r="M229" s="56"/>
    </row>
    <row r="230" ht="15.75" customHeight="1">
      <c r="I230" s="43"/>
      <c r="K230" s="56"/>
      <c r="L230" s="57"/>
      <c r="M230" s="56"/>
    </row>
    <row r="231" ht="15.75" customHeight="1">
      <c r="I231" s="43"/>
      <c r="K231" s="56"/>
      <c r="L231" s="57"/>
      <c r="M231" s="56"/>
    </row>
    <row r="232" ht="15.75" customHeight="1">
      <c r="I232" s="43"/>
      <c r="K232" s="56"/>
      <c r="L232" s="57"/>
      <c r="M232" s="56"/>
    </row>
    <row r="233" ht="15.75" customHeight="1">
      <c r="I233" s="43"/>
      <c r="K233" s="56"/>
      <c r="L233" s="57"/>
      <c r="M233" s="56"/>
    </row>
    <row r="234" ht="15.75" customHeight="1">
      <c r="I234" s="43"/>
      <c r="K234" s="56"/>
      <c r="L234" s="57"/>
      <c r="M234" s="56"/>
    </row>
    <row r="235" ht="15.75" customHeight="1">
      <c r="I235" s="43"/>
      <c r="K235" s="56"/>
      <c r="L235" s="57"/>
      <c r="M235" s="56"/>
    </row>
    <row r="236" ht="15.75" customHeight="1">
      <c r="I236" s="43"/>
      <c r="K236" s="56"/>
      <c r="L236" s="57"/>
      <c r="M236" s="56"/>
    </row>
    <row r="237" ht="15.75" customHeight="1">
      <c r="I237" s="43"/>
      <c r="K237" s="56"/>
      <c r="L237" s="57"/>
      <c r="M237" s="56"/>
    </row>
    <row r="238" ht="15.75" customHeight="1">
      <c r="I238" s="43"/>
      <c r="K238" s="56"/>
      <c r="L238" s="57"/>
      <c r="M238" s="56"/>
    </row>
    <row r="239" ht="15.75" customHeight="1">
      <c r="I239" s="43"/>
      <c r="K239" s="56"/>
      <c r="L239" s="57"/>
      <c r="M239" s="56"/>
    </row>
    <row r="240" ht="15.75" customHeight="1">
      <c r="I240" s="43"/>
      <c r="K240" s="56"/>
      <c r="L240" s="57"/>
      <c r="M240" s="56"/>
    </row>
    <row r="241" ht="15.75" customHeight="1">
      <c r="I241" s="43"/>
      <c r="K241" s="56"/>
      <c r="L241" s="57"/>
      <c r="M241" s="56"/>
    </row>
    <row r="242" ht="15.75" customHeight="1">
      <c r="I242" s="43"/>
      <c r="K242" s="56"/>
      <c r="L242" s="57"/>
      <c r="M242" s="56"/>
    </row>
    <row r="243" ht="15.75" customHeight="1">
      <c r="I243" s="43"/>
      <c r="K243" s="56"/>
      <c r="L243" s="57"/>
      <c r="M243" s="56"/>
    </row>
    <row r="244" ht="15.75" customHeight="1">
      <c r="I244" s="43"/>
      <c r="K244" s="56"/>
      <c r="L244" s="57"/>
      <c r="M244" s="56"/>
    </row>
    <row r="245" ht="15.75" customHeight="1">
      <c r="I245" s="43"/>
      <c r="K245" s="56"/>
      <c r="L245" s="57"/>
      <c r="M245" s="56"/>
    </row>
    <row r="246" ht="15.75" customHeight="1">
      <c r="I246" s="43"/>
      <c r="K246" s="56"/>
      <c r="L246" s="57"/>
      <c r="M246" s="56"/>
    </row>
    <row r="247" ht="15.75" customHeight="1">
      <c r="I247" s="43"/>
      <c r="K247" s="56"/>
      <c r="L247" s="57"/>
      <c r="M247" s="56"/>
    </row>
    <row r="248" ht="15.75" customHeight="1">
      <c r="I248" s="43"/>
      <c r="K248" s="56"/>
      <c r="L248" s="57"/>
      <c r="M248" s="56"/>
    </row>
    <row r="249" ht="15.75" customHeight="1">
      <c r="I249" s="43"/>
      <c r="K249" s="56"/>
      <c r="L249" s="57"/>
      <c r="M249" s="56"/>
    </row>
    <row r="250" ht="15.75" customHeight="1">
      <c r="I250" s="43"/>
      <c r="K250" s="56"/>
      <c r="L250" s="57"/>
      <c r="M250" s="56"/>
    </row>
    <row r="251" ht="15.75" customHeight="1">
      <c r="I251" s="43"/>
      <c r="K251" s="56"/>
      <c r="L251" s="57"/>
      <c r="M251" s="56"/>
    </row>
    <row r="252" ht="15.75" customHeight="1">
      <c r="I252" s="43"/>
      <c r="K252" s="56"/>
      <c r="L252" s="57"/>
      <c r="M252" s="56"/>
    </row>
    <row r="253" ht="15.75" customHeight="1">
      <c r="I253" s="43"/>
      <c r="K253" s="56"/>
      <c r="L253" s="57"/>
      <c r="M253" s="56"/>
    </row>
    <row r="254" ht="15.75" customHeight="1">
      <c r="I254" s="43"/>
      <c r="K254" s="56"/>
      <c r="L254" s="57"/>
      <c r="M254" s="56"/>
    </row>
    <row r="255" ht="15.75" customHeight="1">
      <c r="I255" s="43"/>
      <c r="K255" s="56"/>
      <c r="L255" s="57"/>
      <c r="M255" s="56"/>
    </row>
    <row r="256" ht="15.75" customHeight="1">
      <c r="I256" s="43"/>
      <c r="K256" s="56"/>
      <c r="L256" s="57"/>
      <c r="M256" s="56"/>
    </row>
    <row r="257" ht="15.75" customHeight="1">
      <c r="I257" s="43"/>
      <c r="K257" s="56"/>
      <c r="L257" s="57"/>
      <c r="M257" s="56"/>
    </row>
    <row r="258" ht="15.75" customHeight="1">
      <c r="I258" s="43"/>
      <c r="K258" s="56"/>
      <c r="L258" s="57"/>
      <c r="M258" s="56"/>
    </row>
    <row r="259" ht="15.75" customHeight="1">
      <c r="I259" s="43"/>
      <c r="K259" s="56"/>
      <c r="L259" s="57"/>
      <c r="M259" s="56"/>
    </row>
    <row r="260" ht="15.75" customHeight="1">
      <c r="I260" s="43"/>
      <c r="K260" s="56"/>
      <c r="L260" s="57"/>
      <c r="M260" s="56"/>
    </row>
    <row r="261" ht="15.75" customHeight="1">
      <c r="I261" s="43"/>
      <c r="K261" s="56"/>
      <c r="L261" s="57"/>
      <c r="M261" s="56"/>
    </row>
    <row r="262" ht="15.75" customHeight="1">
      <c r="I262" s="43"/>
      <c r="K262" s="56"/>
      <c r="L262" s="57"/>
      <c r="M262" s="56"/>
    </row>
    <row r="263" ht="15.75" customHeight="1">
      <c r="I263" s="43"/>
      <c r="K263" s="56"/>
      <c r="L263" s="57"/>
      <c r="M263" s="56"/>
    </row>
    <row r="264" ht="15.75" customHeight="1">
      <c r="I264" s="43"/>
      <c r="K264" s="56"/>
      <c r="L264" s="57"/>
      <c r="M264" s="56"/>
    </row>
    <row r="265" ht="15.75" customHeight="1">
      <c r="I265" s="43"/>
      <c r="K265" s="56"/>
      <c r="L265" s="57"/>
      <c r="M265" s="56"/>
    </row>
    <row r="266" ht="15.75" customHeight="1">
      <c r="I266" s="43"/>
      <c r="K266" s="56"/>
      <c r="L266" s="57"/>
      <c r="M266" s="56"/>
    </row>
    <row r="267" ht="15.75" customHeight="1">
      <c r="I267" s="43"/>
      <c r="K267" s="56"/>
      <c r="L267" s="57"/>
      <c r="M267" s="56"/>
    </row>
    <row r="268" ht="15.75" customHeight="1">
      <c r="I268" s="43"/>
      <c r="K268" s="56"/>
      <c r="L268" s="57"/>
      <c r="M268" s="56"/>
    </row>
    <row r="269" ht="15.75" customHeight="1">
      <c r="I269" s="43"/>
      <c r="K269" s="56"/>
      <c r="L269" s="57"/>
      <c r="M269" s="56"/>
    </row>
    <row r="270" ht="15.75" customHeight="1">
      <c r="I270" s="43"/>
      <c r="K270" s="56"/>
      <c r="L270" s="57"/>
      <c r="M270" s="56"/>
    </row>
    <row r="271" ht="15.75" customHeight="1">
      <c r="I271" s="43"/>
      <c r="K271" s="56"/>
      <c r="L271" s="57"/>
      <c r="M271" s="56"/>
    </row>
    <row r="272" ht="15.75" customHeight="1">
      <c r="I272" s="43"/>
      <c r="K272" s="56"/>
      <c r="L272" s="57"/>
      <c r="M272" s="56"/>
    </row>
    <row r="273" ht="15.75" customHeight="1">
      <c r="I273" s="43"/>
      <c r="K273" s="56"/>
      <c r="L273" s="57"/>
      <c r="M273" s="56"/>
    </row>
    <row r="274" ht="15.75" customHeight="1">
      <c r="I274" s="43"/>
      <c r="K274" s="56"/>
      <c r="L274" s="57"/>
      <c r="M274" s="56"/>
    </row>
    <row r="275" ht="15.75" customHeight="1">
      <c r="I275" s="43"/>
      <c r="K275" s="56"/>
      <c r="L275" s="57"/>
      <c r="M275" s="56"/>
    </row>
    <row r="276" ht="15.75" customHeight="1">
      <c r="I276" s="43"/>
      <c r="K276" s="56"/>
      <c r="L276" s="57"/>
      <c r="M276" s="56"/>
    </row>
    <row r="277" ht="15.75" customHeight="1">
      <c r="I277" s="43"/>
      <c r="K277" s="56"/>
      <c r="L277" s="57"/>
      <c r="M277" s="56"/>
    </row>
    <row r="278" ht="15.75" customHeight="1">
      <c r="I278" s="43"/>
      <c r="K278" s="56"/>
      <c r="L278" s="57"/>
      <c r="M278" s="56"/>
    </row>
    <row r="279" ht="15.75" customHeight="1">
      <c r="I279" s="43"/>
      <c r="K279" s="56"/>
      <c r="L279" s="57"/>
      <c r="M279" s="56"/>
    </row>
    <row r="280" ht="15.75" customHeight="1">
      <c r="I280" s="43"/>
      <c r="K280" s="56"/>
      <c r="L280" s="57"/>
      <c r="M280" s="56"/>
    </row>
    <row r="281" ht="15.75" customHeight="1">
      <c r="I281" s="43"/>
      <c r="K281" s="56"/>
      <c r="L281" s="57"/>
      <c r="M281" s="56"/>
    </row>
    <row r="282" ht="15.75" customHeight="1">
      <c r="I282" s="43"/>
      <c r="K282" s="56"/>
      <c r="L282" s="57"/>
      <c r="M282" s="56"/>
    </row>
    <row r="283" ht="15.75" customHeight="1">
      <c r="I283" s="43"/>
      <c r="K283" s="56"/>
      <c r="L283" s="57"/>
      <c r="M283" s="56"/>
    </row>
    <row r="284" ht="15.75" customHeight="1">
      <c r="I284" s="43"/>
      <c r="K284" s="56"/>
      <c r="L284" s="57"/>
      <c r="M284" s="56"/>
    </row>
    <row r="285" ht="15.75" customHeight="1">
      <c r="I285" s="43"/>
      <c r="K285" s="56"/>
      <c r="L285" s="57"/>
      <c r="M285" s="56"/>
    </row>
    <row r="286" ht="15.75" customHeight="1">
      <c r="I286" s="43"/>
      <c r="K286" s="56"/>
      <c r="L286" s="57"/>
      <c r="M286" s="56"/>
    </row>
    <row r="287" ht="15.75" customHeight="1">
      <c r="I287" s="43"/>
      <c r="K287" s="56"/>
      <c r="L287" s="57"/>
      <c r="M287" s="56"/>
    </row>
    <row r="288" ht="15.75" customHeight="1">
      <c r="I288" s="43"/>
      <c r="K288" s="56"/>
      <c r="L288" s="57"/>
      <c r="M288" s="56"/>
    </row>
    <row r="289" ht="15.75" customHeight="1">
      <c r="I289" s="43"/>
      <c r="K289" s="56"/>
      <c r="L289" s="57"/>
      <c r="M289" s="56"/>
    </row>
    <row r="290" ht="15.75" customHeight="1">
      <c r="I290" s="43"/>
      <c r="K290" s="56"/>
      <c r="L290" s="57"/>
      <c r="M290" s="56"/>
    </row>
    <row r="291" ht="15.75" customHeight="1">
      <c r="I291" s="43"/>
      <c r="K291" s="56"/>
      <c r="L291" s="57"/>
      <c r="M291" s="56"/>
    </row>
    <row r="292" ht="15.75" customHeight="1">
      <c r="I292" s="43"/>
      <c r="K292" s="56"/>
      <c r="L292" s="57"/>
      <c r="M292" s="56"/>
    </row>
    <row r="293" ht="15.75" customHeight="1">
      <c r="I293" s="43"/>
      <c r="K293" s="56"/>
      <c r="L293" s="57"/>
      <c r="M293" s="56"/>
    </row>
    <row r="294" ht="15.75" customHeight="1">
      <c r="I294" s="43"/>
      <c r="K294" s="56"/>
      <c r="L294" s="57"/>
      <c r="M294" s="56"/>
    </row>
    <row r="295" ht="15.75" customHeight="1">
      <c r="I295" s="43"/>
      <c r="K295" s="56"/>
      <c r="L295" s="57"/>
      <c r="M295" s="56"/>
    </row>
    <row r="296" ht="15.75" customHeight="1">
      <c r="I296" s="43"/>
      <c r="K296" s="56"/>
      <c r="L296" s="57"/>
      <c r="M296" s="56"/>
    </row>
    <row r="297" ht="15.75" customHeight="1">
      <c r="I297" s="43"/>
      <c r="K297" s="56"/>
      <c r="L297" s="57"/>
      <c r="M297" s="56"/>
    </row>
    <row r="298" ht="15.75" customHeight="1">
      <c r="I298" s="43"/>
      <c r="K298" s="56"/>
      <c r="L298" s="57"/>
      <c r="M298" s="56"/>
    </row>
    <row r="299" ht="15.75" customHeight="1">
      <c r="I299" s="43"/>
      <c r="K299" s="56"/>
      <c r="L299" s="57"/>
      <c r="M299" s="56"/>
    </row>
    <row r="300" ht="15.75" customHeight="1">
      <c r="I300" s="43"/>
      <c r="K300" s="56"/>
      <c r="L300" s="57"/>
      <c r="M300" s="56"/>
    </row>
    <row r="301" ht="15.75" customHeight="1">
      <c r="I301" s="43"/>
      <c r="K301" s="56"/>
      <c r="L301" s="57"/>
      <c r="M301" s="56"/>
    </row>
    <row r="302" ht="15.75" customHeight="1">
      <c r="I302" s="43"/>
      <c r="K302" s="56"/>
      <c r="L302" s="57"/>
      <c r="M302" s="56"/>
    </row>
    <row r="303" ht="15.75" customHeight="1">
      <c r="I303" s="43"/>
      <c r="K303" s="56"/>
      <c r="L303" s="57"/>
      <c r="M303" s="56"/>
    </row>
    <row r="304" ht="15.75" customHeight="1">
      <c r="I304" s="43"/>
      <c r="K304" s="56"/>
      <c r="L304" s="57"/>
      <c r="M304" s="56"/>
    </row>
    <row r="305" ht="15.75" customHeight="1">
      <c r="I305" s="43"/>
      <c r="K305" s="56"/>
      <c r="L305" s="57"/>
      <c r="M305" s="56"/>
    </row>
    <row r="306" ht="15.75" customHeight="1">
      <c r="I306" s="43"/>
      <c r="K306" s="56"/>
      <c r="L306" s="57"/>
      <c r="M306" s="56"/>
    </row>
    <row r="307" ht="15.75" customHeight="1">
      <c r="I307" s="43"/>
      <c r="K307" s="56"/>
      <c r="L307" s="57"/>
      <c r="M307" s="56"/>
    </row>
    <row r="308" ht="15.75" customHeight="1">
      <c r="I308" s="43"/>
      <c r="K308" s="56"/>
      <c r="L308" s="57"/>
      <c r="M308" s="56"/>
    </row>
    <row r="309" ht="15.75" customHeight="1">
      <c r="I309" s="43"/>
      <c r="K309" s="56"/>
      <c r="L309" s="57"/>
      <c r="M309" s="56"/>
    </row>
    <row r="310" ht="15.75" customHeight="1">
      <c r="I310" s="43"/>
      <c r="K310" s="56"/>
      <c r="L310" s="57"/>
      <c r="M310" s="56"/>
    </row>
    <row r="311" ht="15.75" customHeight="1">
      <c r="I311" s="43"/>
      <c r="K311" s="56"/>
      <c r="L311" s="57"/>
      <c r="M311" s="56"/>
    </row>
    <row r="312" ht="15.75" customHeight="1">
      <c r="I312" s="43"/>
      <c r="K312" s="56"/>
      <c r="L312" s="57"/>
      <c r="M312" s="56"/>
    </row>
    <row r="313" ht="15.75" customHeight="1">
      <c r="I313" s="43"/>
      <c r="K313" s="56"/>
      <c r="L313" s="57"/>
      <c r="M313" s="56"/>
    </row>
    <row r="314" ht="15.75" customHeight="1">
      <c r="I314" s="43"/>
      <c r="K314" s="56"/>
      <c r="L314" s="57"/>
      <c r="M314" s="56"/>
    </row>
    <row r="315" ht="15.75" customHeight="1">
      <c r="I315" s="43"/>
      <c r="K315" s="56"/>
      <c r="L315" s="57"/>
      <c r="M315" s="56"/>
    </row>
    <row r="316" ht="15.75" customHeight="1">
      <c r="I316" s="43"/>
      <c r="K316" s="56"/>
      <c r="L316" s="57"/>
      <c r="M316" s="56"/>
    </row>
    <row r="317" ht="15.75" customHeight="1">
      <c r="I317" s="43"/>
      <c r="K317" s="56"/>
      <c r="L317" s="57"/>
      <c r="M317" s="56"/>
    </row>
    <row r="318" ht="15.75" customHeight="1">
      <c r="I318" s="43"/>
      <c r="K318" s="56"/>
      <c r="L318" s="57"/>
      <c r="M318" s="56"/>
    </row>
    <row r="319" ht="15.75" customHeight="1">
      <c r="I319" s="43"/>
      <c r="K319" s="56"/>
      <c r="L319" s="57"/>
      <c r="M319" s="56"/>
    </row>
    <row r="320" ht="15.75" customHeight="1">
      <c r="I320" s="43"/>
      <c r="K320" s="56"/>
      <c r="L320" s="57"/>
      <c r="M320" s="56"/>
    </row>
    <row r="321" ht="15.75" customHeight="1">
      <c r="I321" s="43"/>
      <c r="K321" s="56"/>
      <c r="L321" s="57"/>
      <c r="M321" s="56"/>
    </row>
    <row r="322" ht="15.75" customHeight="1">
      <c r="I322" s="43"/>
      <c r="K322" s="56"/>
      <c r="L322" s="57"/>
      <c r="M322" s="56"/>
    </row>
    <row r="323" ht="15.75" customHeight="1">
      <c r="I323" s="43"/>
      <c r="K323" s="56"/>
      <c r="L323" s="57"/>
      <c r="M323" s="56"/>
    </row>
    <row r="324" ht="15.75" customHeight="1">
      <c r="I324" s="43"/>
      <c r="K324" s="56"/>
      <c r="L324" s="57"/>
      <c r="M324" s="56"/>
    </row>
    <row r="325" ht="15.75" customHeight="1">
      <c r="I325" s="43"/>
      <c r="K325" s="56"/>
      <c r="L325" s="57"/>
      <c r="M325" s="56"/>
    </row>
    <row r="326" ht="15.75" customHeight="1">
      <c r="I326" s="43"/>
      <c r="K326" s="56"/>
      <c r="L326" s="57"/>
      <c r="M326" s="56"/>
    </row>
    <row r="327" ht="15.75" customHeight="1">
      <c r="I327" s="43"/>
      <c r="K327" s="56"/>
      <c r="L327" s="57"/>
      <c r="M327" s="56"/>
    </row>
    <row r="328" ht="15.75" customHeight="1">
      <c r="I328" s="43"/>
      <c r="K328" s="56"/>
      <c r="L328" s="57"/>
      <c r="M328" s="56"/>
    </row>
    <row r="329" ht="15.75" customHeight="1">
      <c r="I329" s="43"/>
      <c r="K329" s="56"/>
      <c r="L329" s="57"/>
      <c r="M329" s="56"/>
    </row>
    <row r="330" ht="15.75" customHeight="1">
      <c r="I330" s="43"/>
      <c r="K330" s="56"/>
      <c r="L330" s="57"/>
      <c r="M330" s="56"/>
    </row>
    <row r="331" ht="15.75" customHeight="1">
      <c r="I331" s="43"/>
      <c r="K331" s="56"/>
      <c r="L331" s="57"/>
      <c r="M331" s="56"/>
    </row>
    <row r="332" ht="15.75" customHeight="1">
      <c r="I332" s="43"/>
      <c r="K332" s="56"/>
      <c r="L332" s="57"/>
      <c r="M332" s="56"/>
    </row>
    <row r="333" ht="15.75" customHeight="1">
      <c r="I333" s="43"/>
      <c r="K333" s="56"/>
      <c r="L333" s="57"/>
      <c r="M333" s="56"/>
    </row>
    <row r="334" ht="15.75" customHeight="1">
      <c r="I334" s="43"/>
      <c r="K334" s="56"/>
      <c r="L334" s="57"/>
      <c r="M334" s="56"/>
    </row>
    <row r="335" ht="15.75" customHeight="1">
      <c r="I335" s="43"/>
      <c r="K335" s="56"/>
      <c r="L335" s="57"/>
      <c r="M335" s="56"/>
    </row>
    <row r="336" ht="15.75" customHeight="1">
      <c r="I336" s="43"/>
      <c r="K336" s="56"/>
      <c r="L336" s="57"/>
      <c r="M336" s="56"/>
    </row>
    <row r="337" ht="15.75" customHeight="1">
      <c r="I337" s="43"/>
      <c r="K337" s="56"/>
      <c r="L337" s="57"/>
      <c r="M337" s="56"/>
    </row>
    <row r="338" ht="15.75" customHeight="1">
      <c r="I338" s="43"/>
      <c r="K338" s="56"/>
      <c r="L338" s="57"/>
      <c r="M338" s="56"/>
    </row>
    <row r="339" ht="15.75" customHeight="1">
      <c r="I339" s="43"/>
      <c r="K339" s="56"/>
      <c r="L339" s="57"/>
      <c r="M339" s="56"/>
    </row>
    <row r="340" ht="15.75" customHeight="1">
      <c r="I340" s="43"/>
      <c r="K340" s="56"/>
      <c r="L340" s="57"/>
      <c r="M340" s="56"/>
    </row>
    <row r="341" ht="15.75" customHeight="1">
      <c r="I341" s="43"/>
      <c r="K341" s="56"/>
      <c r="L341" s="57"/>
      <c r="M341" s="56"/>
    </row>
    <row r="342" ht="15.75" customHeight="1">
      <c r="I342" s="43"/>
      <c r="K342" s="56"/>
      <c r="L342" s="57"/>
      <c r="M342" s="56"/>
    </row>
    <row r="343" ht="15.75" customHeight="1">
      <c r="I343" s="43"/>
      <c r="K343" s="56"/>
      <c r="L343" s="57"/>
      <c r="M343" s="56"/>
    </row>
    <row r="344" ht="15.75" customHeight="1">
      <c r="I344" s="43"/>
      <c r="K344" s="56"/>
      <c r="L344" s="57"/>
      <c r="M344" s="56"/>
    </row>
    <row r="345" ht="15.75" customHeight="1">
      <c r="I345" s="43"/>
      <c r="K345" s="56"/>
      <c r="L345" s="57"/>
      <c r="M345" s="56"/>
    </row>
    <row r="346" ht="15.75" customHeight="1">
      <c r="I346" s="43"/>
      <c r="K346" s="56"/>
      <c r="L346" s="57"/>
      <c r="M346" s="56"/>
    </row>
    <row r="347" ht="15.75" customHeight="1">
      <c r="I347" s="43"/>
      <c r="K347" s="56"/>
      <c r="L347" s="57"/>
      <c r="M347" s="56"/>
    </row>
    <row r="348" ht="15.75" customHeight="1">
      <c r="I348" s="43"/>
      <c r="K348" s="56"/>
      <c r="L348" s="57"/>
      <c r="M348" s="56"/>
    </row>
    <row r="349" ht="15.75" customHeight="1">
      <c r="I349" s="43"/>
      <c r="K349" s="56"/>
      <c r="L349" s="57"/>
      <c r="M349" s="56"/>
    </row>
    <row r="350" ht="15.75" customHeight="1">
      <c r="I350" s="43"/>
      <c r="K350" s="56"/>
      <c r="L350" s="57"/>
      <c r="M350" s="56"/>
    </row>
    <row r="351" ht="15.75" customHeight="1">
      <c r="I351" s="43"/>
      <c r="K351" s="56"/>
      <c r="L351" s="57"/>
      <c r="M351" s="56"/>
    </row>
    <row r="352" ht="15.75" customHeight="1">
      <c r="I352" s="43"/>
      <c r="K352" s="56"/>
      <c r="L352" s="57"/>
      <c r="M352" s="56"/>
    </row>
    <row r="353" ht="15.75" customHeight="1">
      <c r="I353" s="43"/>
      <c r="K353" s="56"/>
      <c r="L353" s="57"/>
      <c r="M353" s="56"/>
    </row>
    <row r="354" ht="15.75" customHeight="1">
      <c r="I354" s="43"/>
      <c r="K354" s="56"/>
      <c r="L354" s="57"/>
      <c r="M354" s="56"/>
    </row>
    <row r="355" ht="15.75" customHeight="1">
      <c r="I355" s="43"/>
      <c r="K355" s="56"/>
      <c r="L355" s="57"/>
      <c r="M355" s="56"/>
    </row>
    <row r="356" ht="15.75" customHeight="1">
      <c r="I356" s="43"/>
      <c r="K356" s="56"/>
      <c r="L356" s="57"/>
      <c r="M356" s="56"/>
    </row>
    <row r="357" ht="15.75" customHeight="1">
      <c r="I357" s="43"/>
      <c r="K357" s="56"/>
      <c r="L357" s="57"/>
      <c r="M357" s="56"/>
    </row>
    <row r="358" ht="15.75" customHeight="1">
      <c r="I358" s="43"/>
      <c r="K358" s="56"/>
      <c r="L358" s="57"/>
      <c r="M358" s="56"/>
    </row>
    <row r="359" ht="15.75" customHeight="1">
      <c r="I359" s="43"/>
      <c r="K359" s="56"/>
      <c r="L359" s="57"/>
      <c r="M359" s="56"/>
    </row>
    <row r="360" ht="15.75" customHeight="1">
      <c r="I360" s="43"/>
      <c r="K360" s="56"/>
      <c r="L360" s="57"/>
      <c r="M360" s="56"/>
    </row>
    <row r="361" ht="15.75" customHeight="1">
      <c r="I361" s="43"/>
      <c r="K361" s="56"/>
      <c r="L361" s="57"/>
      <c r="M361" s="56"/>
    </row>
    <row r="362" ht="15.75" customHeight="1">
      <c r="I362" s="43"/>
      <c r="K362" s="56"/>
      <c r="L362" s="57"/>
      <c r="M362" s="56"/>
    </row>
    <row r="363" ht="15.75" customHeight="1">
      <c r="I363" s="43"/>
      <c r="K363" s="56"/>
      <c r="L363" s="57"/>
      <c r="M363" s="56"/>
    </row>
    <row r="364" ht="15.75" customHeight="1">
      <c r="I364" s="43"/>
      <c r="K364" s="56"/>
      <c r="L364" s="57"/>
      <c r="M364" s="56"/>
    </row>
    <row r="365" ht="15.75" customHeight="1">
      <c r="I365" s="43"/>
      <c r="K365" s="56"/>
      <c r="L365" s="57"/>
      <c r="M365" s="56"/>
    </row>
    <row r="366" ht="15.75" customHeight="1">
      <c r="I366" s="43"/>
      <c r="K366" s="56"/>
      <c r="L366" s="57"/>
      <c r="M366" s="56"/>
    </row>
    <row r="367" ht="15.75" customHeight="1">
      <c r="I367" s="43"/>
      <c r="K367" s="56"/>
      <c r="L367" s="57"/>
      <c r="M367" s="56"/>
    </row>
    <row r="368" ht="15.75" customHeight="1">
      <c r="I368" s="43"/>
      <c r="K368" s="56"/>
      <c r="L368" s="57"/>
      <c r="M368" s="56"/>
    </row>
    <row r="369" ht="15.75" customHeight="1">
      <c r="I369" s="43"/>
      <c r="K369" s="56"/>
      <c r="L369" s="57"/>
      <c r="M369" s="56"/>
    </row>
    <row r="370" ht="15.75" customHeight="1">
      <c r="I370" s="43"/>
      <c r="K370" s="56"/>
      <c r="L370" s="57"/>
      <c r="M370" s="56"/>
    </row>
    <row r="371" ht="15.75" customHeight="1">
      <c r="I371" s="43"/>
      <c r="K371" s="56"/>
      <c r="L371" s="57"/>
      <c r="M371" s="56"/>
    </row>
    <row r="372" ht="15.75" customHeight="1">
      <c r="I372" s="43"/>
      <c r="K372" s="56"/>
      <c r="L372" s="57"/>
      <c r="M372" s="56"/>
    </row>
    <row r="373" ht="15.75" customHeight="1">
      <c r="I373" s="43"/>
      <c r="K373" s="56"/>
      <c r="L373" s="57"/>
      <c r="M373" s="56"/>
    </row>
    <row r="374" ht="15.75" customHeight="1">
      <c r="I374" s="43"/>
      <c r="K374" s="56"/>
      <c r="L374" s="57"/>
      <c r="M374" s="56"/>
    </row>
    <row r="375" ht="15.75" customHeight="1">
      <c r="I375" s="43"/>
      <c r="K375" s="56"/>
      <c r="L375" s="57"/>
      <c r="M375" s="56"/>
    </row>
    <row r="376" ht="15.75" customHeight="1">
      <c r="I376" s="43"/>
      <c r="K376" s="56"/>
      <c r="L376" s="57"/>
      <c r="M376" s="56"/>
    </row>
    <row r="377" ht="15.75" customHeight="1">
      <c r="I377" s="43"/>
      <c r="K377" s="56"/>
      <c r="L377" s="57"/>
      <c r="M377" s="56"/>
    </row>
    <row r="378" ht="15.75" customHeight="1">
      <c r="I378" s="43"/>
      <c r="K378" s="56"/>
      <c r="L378" s="57"/>
      <c r="M378" s="56"/>
    </row>
    <row r="379" ht="15.75" customHeight="1">
      <c r="I379" s="43"/>
      <c r="K379" s="56"/>
      <c r="L379" s="57"/>
      <c r="M379" s="56"/>
    </row>
    <row r="380" ht="15.75" customHeight="1">
      <c r="I380" s="43"/>
      <c r="K380" s="56"/>
      <c r="L380" s="57"/>
      <c r="M380" s="56"/>
    </row>
    <row r="381" ht="15.75" customHeight="1">
      <c r="I381" s="43"/>
      <c r="K381" s="56"/>
      <c r="L381" s="57"/>
      <c r="M381" s="56"/>
    </row>
    <row r="382" ht="15.75" customHeight="1">
      <c r="I382" s="43"/>
      <c r="K382" s="56"/>
      <c r="L382" s="57"/>
      <c r="M382" s="56"/>
    </row>
    <row r="383" ht="15.75" customHeight="1">
      <c r="I383" s="43"/>
      <c r="K383" s="56"/>
      <c r="L383" s="57"/>
      <c r="M383" s="56"/>
    </row>
    <row r="384" ht="15.75" customHeight="1">
      <c r="I384" s="43"/>
      <c r="K384" s="56"/>
      <c r="L384" s="57"/>
      <c r="M384" s="56"/>
    </row>
    <row r="385" ht="15.75" customHeight="1">
      <c r="I385" s="43"/>
      <c r="K385" s="56"/>
      <c r="L385" s="57"/>
      <c r="M385" s="56"/>
    </row>
    <row r="386" ht="15.75" customHeight="1">
      <c r="I386" s="43"/>
      <c r="K386" s="56"/>
      <c r="L386" s="57"/>
      <c r="M386" s="56"/>
    </row>
    <row r="387" ht="15.75" customHeight="1">
      <c r="I387" s="43"/>
      <c r="K387" s="56"/>
      <c r="L387" s="57"/>
      <c r="M387" s="56"/>
    </row>
    <row r="388" ht="15.75" customHeight="1">
      <c r="I388" s="43"/>
      <c r="K388" s="56"/>
      <c r="L388" s="57"/>
      <c r="M388" s="56"/>
    </row>
    <row r="389" ht="15.75" customHeight="1">
      <c r="I389" s="43"/>
      <c r="K389" s="56"/>
      <c r="L389" s="57"/>
      <c r="M389" s="56"/>
    </row>
    <row r="390" ht="15.75" customHeight="1">
      <c r="I390" s="43"/>
      <c r="K390" s="56"/>
      <c r="L390" s="57"/>
      <c r="M390" s="56"/>
    </row>
    <row r="391" ht="15.75" customHeight="1">
      <c r="I391" s="43"/>
      <c r="K391" s="56"/>
      <c r="L391" s="57"/>
      <c r="M391" s="56"/>
    </row>
    <row r="392" ht="15.75" customHeight="1">
      <c r="I392" s="43"/>
      <c r="K392" s="56"/>
      <c r="L392" s="57"/>
      <c r="M392" s="56"/>
    </row>
    <row r="393" ht="15.75" customHeight="1">
      <c r="I393" s="43"/>
      <c r="K393" s="56"/>
      <c r="L393" s="57"/>
      <c r="M393" s="56"/>
    </row>
    <row r="394" ht="15.75" customHeight="1">
      <c r="I394" s="43"/>
      <c r="K394" s="56"/>
      <c r="L394" s="57"/>
      <c r="M394" s="56"/>
    </row>
    <row r="395" ht="15.75" customHeight="1">
      <c r="I395" s="43"/>
      <c r="K395" s="56"/>
      <c r="L395" s="57"/>
      <c r="M395" s="56"/>
    </row>
    <row r="396" ht="15.75" customHeight="1">
      <c r="I396" s="43"/>
      <c r="K396" s="56"/>
      <c r="L396" s="57"/>
      <c r="M396" s="56"/>
    </row>
    <row r="397" ht="15.75" customHeight="1">
      <c r="I397" s="43"/>
      <c r="K397" s="56"/>
      <c r="L397" s="57"/>
      <c r="M397" s="56"/>
    </row>
    <row r="398" ht="15.75" customHeight="1">
      <c r="I398" s="43"/>
      <c r="K398" s="56"/>
      <c r="L398" s="57"/>
      <c r="M398" s="56"/>
    </row>
    <row r="399" ht="15.75" customHeight="1">
      <c r="I399" s="43"/>
      <c r="K399" s="56"/>
      <c r="L399" s="57"/>
      <c r="M399" s="56"/>
    </row>
    <row r="400" ht="15.75" customHeight="1">
      <c r="I400" s="43"/>
      <c r="K400" s="56"/>
      <c r="L400" s="57"/>
      <c r="M400" s="56"/>
    </row>
    <row r="401" ht="15.75" customHeight="1">
      <c r="I401" s="43"/>
      <c r="K401" s="56"/>
      <c r="L401" s="57"/>
      <c r="M401" s="56"/>
    </row>
    <row r="402" ht="15.75" customHeight="1">
      <c r="I402" s="43"/>
      <c r="K402" s="56"/>
      <c r="L402" s="57"/>
      <c r="M402" s="56"/>
    </row>
    <row r="403" ht="15.75" customHeight="1">
      <c r="I403" s="43"/>
      <c r="K403" s="56"/>
      <c r="L403" s="57"/>
      <c r="M403" s="56"/>
    </row>
    <row r="404" ht="15.75" customHeight="1">
      <c r="I404" s="43"/>
      <c r="K404" s="56"/>
      <c r="L404" s="57"/>
      <c r="M404" s="56"/>
    </row>
    <row r="405" ht="15.75" customHeight="1">
      <c r="I405" s="65"/>
      <c r="M405" s="65"/>
    </row>
    <row r="406" ht="15.75" customHeight="1">
      <c r="I406" s="65"/>
      <c r="M406" s="65"/>
    </row>
    <row r="407" ht="15.75" customHeight="1">
      <c r="I407" s="65"/>
      <c r="M407" s="65"/>
    </row>
    <row r="408" ht="15.75" customHeight="1">
      <c r="I408" s="65"/>
      <c r="M408" s="65"/>
    </row>
    <row r="409" ht="15.75" customHeight="1">
      <c r="I409" s="65"/>
      <c r="M409" s="65"/>
    </row>
    <row r="410" ht="15.75" customHeight="1">
      <c r="I410" s="65"/>
      <c r="M410" s="65"/>
    </row>
    <row r="411" ht="15.75" customHeight="1">
      <c r="I411" s="65"/>
      <c r="M411" s="65"/>
    </row>
    <row r="412" ht="15.75" customHeight="1">
      <c r="I412" s="65"/>
      <c r="M412" s="65"/>
    </row>
    <row r="413" ht="15.75" customHeight="1">
      <c r="I413" s="65"/>
      <c r="M413" s="65"/>
    </row>
    <row r="414" ht="15.75" customHeight="1">
      <c r="I414" s="65"/>
      <c r="M414" s="65"/>
    </row>
    <row r="415" ht="15.75" customHeight="1">
      <c r="I415" s="65"/>
      <c r="M415" s="65"/>
    </row>
    <row r="416" ht="15.75" customHeight="1">
      <c r="I416" s="65"/>
      <c r="M416" s="65"/>
    </row>
    <row r="417" ht="15.75" customHeight="1">
      <c r="I417" s="65"/>
      <c r="M417" s="65"/>
    </row>
    <row r="418" ht="15.75" customHeight="1">
      <c r="I418" s="65"/>
      <c r="M418" s="65"/>
    </row>
    <row r="419" ht="15.75" customHeight="1">
      <c r="I419" s="65"/>
      <c r="M419" s="65"/>
    </row>
    <row r="420" ht="15.75" customHeight="1">
      <c r="I420" s="65"/>
      <c r="M420" s="65"/>
    </row>
    <row r="421" ht="15.75" customHeight="1">
      <c r="I421" s="65"/>
      <c r="M421" s="65"/>
    </row>
    <row r="422" ht="15.75" customHeight="1">
      <c r="I422" s="65"/>
      <c r="M422" s="65"/>
    </row>
    <row r="423" ht="15.75" customHeight="1">
      <c r="I423" s="65"/>
      <c r="M423" s="65"/>
    </row>
    <row r="424" ht="15.75" customHeight="1">
      <c r="I424" s="65"/>
      <c r="M424" s="65"/>
    </row>
    <row r="425" ht="15.75" customHeight="1">
      <c r="I425" s="65"/>
      <c r="M425" s="65"/>
    </row>
    <row r="426" ht="15.75" customHeight="1">
      <c r="I426" s="65"/>
      <c r="M426" s="65"/>
    </row>
    <row r="427" ht="15.75" customHeight="1">
      <c r="I427" s="65"/>
      <c r="M427" s="65"/>
    </row>
    <row r="428" ht="15.75" customHeight="1">
      <c r="I428" s="65"/>
      <c r="M428" s="65"/>
    </row>
    <row r="429" ht="15.75" customHeight="1">
      <c r="I429" s="65"/>
      <c r="M429" s="65"/>
    </row>
    <row r="430" ht="15.75" customHeight="1">
      <c r="I430" s="65"/>
      <c r="M430" s="65"/>
    </row>
    <row r="431" ht="15.75" customHeight="1">
      <c r="I431" s="65"/>
      <c r="M431" s="65"/>
    </row>
    <row r="432" ht="15.75" customHeight="1">
      <c r="I432" s="65"/>
      <c r="M432" s="65"/>
    </row>
    <row r="433" ht="15.75" customHeight="1">
      <c r="I433" s="65"/>
      <c r="M433" s="65"/>
    </row>
    <row r="434" ht="15.75" customHeight="1">
      <c r="I434" s="65"/>
      <c r="M434" s="65"/>
    </row>
    <row r="435" ht="15.75" customHeight="1">
      <c r="I435" s="65"/>
      <c r="M435" s="65"/>
    </row>
    <row r="436" ht="15.75" customHeight="1">
      <c r="I436" s="65"/>
      <c r="M436" s="65"/>
    </row>
    <row r="437" ht="15.75" customHeight="1">
      <c r="I437" s="65"/>
      <c r="M437" s="65"/>
    </row>
    <row r="438" ht="15.75" customHeight="1">
      <c r="I438" s="65"/>
      <c r="M438" s="65"/>
    </row>
    <row r="439" ht="15.75" customHeight="1">
      <c r="I439" s="65"/>
      <c r="M439" s="65"/>
    </row>
    <row r="440" ht="15.75" customHeight="1">
      <c r="I440" s="65"/>
      <c r="M440" s="65"/>
    </row>
    <row r="441" ht="15.75" customHeight="1">
      <c r="I441" s="65"/>
      <c r="M441" s="65"/>
    </row>
    <row r="442" ht="15.75" customHeight="1">
      <c r="I442" s="65"/>
      <c r="M442" s="65"/>
    </row>
    <row r="443" ht="15.75" customHeight="1">
      <c r="I443" s="65"/>
      <c r="M443" s="65"/>
    </row>
    <row r="444" ht="15.75" customHeight="1">
      <c r="I444" s="65"/>
      <c r="M444" s="65"/>
    </row>
    <row r="445" ht="15.75" customHeight="1">
      <c r="I445" s="65"/>
      <c r="M445" s="65"/>
    </row>
    <row r="446" ht="15.75" customHeight="1">
      <c r="I446" s="65"/>
      <c r="M446" s="65"/>
    </row>
    <row r="447" ht="15.75" customHeight="1">
      <c r="I447" s="65"/>
      <c r="M447" s="65"/>
    </row>
    <row r="448" ht="15.75" customHeight="1">
      <c r="I448" s="65"/>
      <c r="M448" s="65"/>
    </row>
    <row r="449" ht="15.75" customHeight="1">
      <c r="I449" s="65"/>
      <c r="M449" s="65"/>
    </row>
    <row r="450" ht="15.75" customHeight="1">
      <c r="I450" s="65"/>
      <c r="M450" s="65"/>
    </row>
    <row r="451" ht="15.75" customHeight="1">
      <c r="I451" s="65"/>
      <c r="M451" s="65"/>
    </row>
    <row r="452" ht="15.75" customHeight="1">
      <c r="I452" s="65"/>
      <c r="M452" s="65"/>
    </row>
    <row r="453" ht="15.75" customHeight="1">
      <c r="I453" s="65"/>
      <c r="M453" s="65"/>
    </row>
    <row r="454" ht="15.75" customHeight="1">
      <c r="I454" s="65"/>
      <c r="M454" s="65"/>
    </row>
    <row r="455" ht="15.75" customHeight="1">
      <c r="I455" s="65"/>
      <c r="M455" s="65"/>
    </row>
    <row r="456" ht="15.75" customHeight="1">
      <c r="I456" s="65"/>
      <c r="M456" s="65"/>
    </row>
    <row r="457" ht="15.75" customHeight="1">
      <c r="I457" s="65"/>
      <c r="M457" s="65"/>
    </row>
    <row r="458" ht="15.75" customHeight="1">
      <c r="I458" s="65"/>
      <c r="M458" s="65"/>
    </row>
    <row r="459" ht="15.75" customHeight="1">
      <c r="I459" s="65"/>
      <c r="M459" s="65"/>
    </row>
    <row r="460" ht="15.75" customHeight="1">
      <c r="I460" s="65"/>
      <c r="M460" s="65"/>
    </row>
    <row r="461" ht="15.75" customHeight="1">
      <c r="I461" s="65"/>
      <c r="M461" s="65"/>
    </row>
    <row r="462" ht="15.75" customHeight="1">
      <c r="I462" s="65"/>
      <c r="M462" s="65"/>
    </row>
    <row r="463" ht="15.75" customHeight="1">
      <c r="I463" s="65"/>
      <c r="M463" s="65"/>
    </row>
    <row r="464" ht="15.75" customHeight="1">
      <c r="I464" s="65"/>
      <c r="M464" s="65"/>
    </row>
    <row r="465" ht="15.75" customHeight="1">
      <c r="I465" s="65"/>
      <c r="M465" s="65"/>
    </row>
    <row r="466" ht="15.75" customHeight="1">
      <c r="I466" s="65"/>
      <c r="M466" s="65"/>
    </row>
    <row r="467" ht="15.75" customHeight="1">
      <c r="I467" s="65"/>
      <c r="M467" s="65"/>
    </row>
    <row r="468" ht="15.75" customHeight="1">
      <c r="I468" s="65"/>
      <c r="M468" s="65"/>
    </row>
    <row r="469" ht="15.75" customHeight="1">
      <c r="I469" s="65"/>
      <c r="M469" s="65"/>
    </row>
    <row r="470" ht="15.75" customHeight="1">
      <c r="I470" s="65"/>
      <c r="M470" s="65"/>
    </row>
    <row r="471" ht="15.75" customHeight="1">
      <c r="I471" s="65"/>
      <c r="M471" s="65"/>
    </row>
    <row r="472" ht="15.75" customHeight="1">
      <c r="I472" s="65"/>
      <c r="M472" s="65"/>
    </row>
    <row r="473" ht="15.75" customHeight="1">
      <c r="I473" s="65"/>
      <c r="M473" s="65"/>
    </row>
    <row r="474" ht="15.75" customHeight="1">
      <c r="I474" s="65"/>
      <c r="M474" s="65"/>
    </row>
    <row r="475" ht="15.75" customHeight="1">
      <c r="I475" s="65"/>
      <c r="M475" s="65"/>
    </row>
    <row r="476" ht="15.75" customHeight="1">
      <c r="I476" s="65"/>
      <c r="M476" s="65"/>
    </row>
    <row r="477" ht="15.75" customHeight="1">
      <c r="I477" s="65"/>
      <c r="M477" s="65"/>
    </row>
    <row r="478" ht="15.75" customHeight="1">
      <c r="I478" s="65"/>
      <c r="M478" s="65"/>
    </row>
    <row r="479" ht="15.75" customHeight="1">
      <c r="I479" s="65"/>
      <c r="M479" s="65"/>
    </row>
    <row r="480" ht="15.75" customHeight="1">
      <c r="I480" s="65"/>
      <c r="M480" s="65"/>
    </row>
    <row r="481" ht="15.75" customHeight="1">
      <c r="I481" s="65"/>
      <c r="M481" s="65"/>
    </row>
    <row r="482" ht="15.75" customHeight="1">
      <c r="I482" s="65"/>
      <c r="M482" s="65"/>
    </row>
    <row r="483" ht="15.75" customHeight="1">
      <c r="I483" s="65"/>
      <c r="M483" s="65"/>
    </row>
    <row r="484" ht="15.75" customHeight="1">
      <c r="I484" s="65"/>
      <c r="M484" s="65"/>
    </row>
    <row r="485" ht="15.75" customHeight="1">
      <c r="I485" s="65"/>
      <c r="M485" s="65"/>
    </row>
    <row r="486" ht="15.75" customHeight="1">
      <c r="I486" s="65"/>
      <c r="M486" s="65"/>
    </row>
    <row r="487" ht="15.75" customHeight="1">
      <c r="I487" s="65"/>
      <c r="M487" s="65"/>
    </row>
    <row r="488" ht="15.75" customHeight="1">
      <c r="I488" s="65"/>
      <c r="M488" s="65"/>
    </row>
    <row r="489" ht="15.75" customHeight="1">
      <c r="I489" s="65"/>
      <c r="M489" s="65"/>
    </row>
    <row r="490" ht="15.75" customHeight="1">
      <c r="I490" s="65"/>
      <c r="M490" s="65"/>
    </row>
    <row r="491" ht="15.75" customHeight="1">
      <c r="I491" s="65"/>
      <c r="M491" s="65"/>
    </row>
    <row r="492" ht="15.75" customHeight="1">
      <c r="I492" s="65"/>
      <c r="M492" s="65"/>
    </row>
    <row r="493" ht="15.75" customHeight="1">
      <c r="I493" s="65"/>
      <c r="M493" s="65"/>
    </row>
    <row r="494" ht="15.75" customHeight="1">
      <c r="I494" s="65"/>
      <c r="M494" s="65"/>
    </row>
    <row r="495" ht="15.75" customHeight="1">
      <c r="I495" s="65"/>
      <c r="M495" s="65"/>
    </row>
    <row r="496" ht="15.75" customHeight="1">
      <c r="I496" s="65"/>
      <c r="M496" s="65"/>
    </row>
    <row r="497" ht="15.75" customHeight="1">
      <c r="I497" s="65"/>
      <c r="M497" s="65"/>
    </row>
    <row r="498" ht="15.75" customHeight="1">
      <c r="I498" s="65"/>
      <c r="M498" s="65"/>
    </row>
    <row r="499" ht="15.75" customHeight="1">
      <c r="I499" s="65"/>
      <c r="M499" s="65"/>
    </row>
    <row r="500" ht="15.75" customHeight="1">
      <c r="I500" s="65"/>
      <c r="M500" s="65"/>
    </row>
    <row r="501" ht="15.75" customHeight="1">
      <c r="M501" s="65"/>
    </row>
    <row r="502" ht="15.75" customHeight="1">
      <c r="M502" s="65"/>
    </row>
    <row r="503" ht="15.75" customHeight="1">
      <c r="M503" s="65"/>
    </row>
    <row r="504" ht="15.75" customHeight="1">
      <c r="M504" s="65"/>
    </row>
    <row r="505" ht="15.75" customHeight="1">
      <c r="M505" s="65"/>
    </row>
    <row r="506" ht="15.75" customHeight="1">
      <c r="M506" s="65"/>
    </row>
    <row r="507" ht="15.75" customHeight="1">
      <c r="M507" s="65"/>
    </row>
    <row r="508" ht="15.75" customHeight="1">
      <c r="M508" s="65"/>
    </row>
    <row r="509" ht="15.75" customHeight="1">
      <c r="M509" s="65"/>
    </row>
    <row r="510" ht="15.75" customHeight="1">
      <c r="M510" s="65"/>
    </row>
    <row r="511" ht="15.75" customHeight="1">
      <c r="M511" s="65"/>
    </row>
    <row r="512" ht="15.75" customHeight="1">
      <c r="M512" s="65"/>
    </row>
    <row r="513" ht="15.75" customHeight="1">
      <c r="M513" s="65"/>
    </row>
    <row r="514" ht="15.75" customHeight="1">
      <c r="M514" s="65"/>
    </row>
    <row r="515" ht="15.75" customHeight="1">
      <c r="M515" s="65"/>
    </row>
    <row r="516" ht="15.75" customHeight="1">
      <c r="M516" s="65"/>
    </row>
    <row r="517" ht="15.75" customHeight="1">
      <c r="M517" s="65"/>
    </row>
    <row r="518" ht="15.75" customHeight="1">
      <c r="M518" s="65"/>
    </row>
    <row r="519" ht="15.75" customHeight="1">
      <c r="M519" s="65"/>
    </row>
    <row r="520" ht="15.75" customHeight="1">
      <c r="M520" s="65"/>
    </row>
    <row r="521" ht="15.75" customHeight="1">
      <c r="M521" s="65"/>
    </row>
    <row r="522" ht="15.75" customHeight="1">
      <c r="M522" s="65"/>
    </row>
    <row r="523" ht="15.75" customHeight="1">
      <c r="M523" s="65"/>
    </row>
    <row r="524" ht="15.75" customHeight="1">
      <c r="M524" s="65"/>
    </row>
    <row r="525" ht="15.75" customHeight="1">
      <c r="M525" s="65"/>
    </row>
    <row r="526" ht="15.75" customHeight="1">
      <c r="M526" s="65"/>
    </row>
    <row r="527" ht="15.75" customHeight="1">
      <c r="M527" s="65"/>
    </row>
    <row r="528" ht="15.75" customHeight="1">
      <c r="M528" s="65"/>
    </row>
    <row r="529" ht="15.75" customHeight="1">
      <c r="M529" s="65"/>
    </row>
    <row r="530" ht="15.75" customHeight="1">
      <c r="M530" s="65"/>
    </row>
    <row r="531" ht="15.75" customHeight="1">
      <c r="M531" s="65"/>
    </row>
    <row r="532" ht="15.75" customHeight="1">
      <c r="M532" s="65"/>
    </row>
    <row r="533" ht="15.75" customHeight="1">
      <c r="M533" s="65"/>
    </row>
    <row r="534" ht="15.75" customHeight="1">
      <c r="M534" s="65"/>
    </row>
    <row r="535" ht="15.75" customHeight="1">
      <c r="M535" s="65"/>
    </row>
    <row r="536" ht="15.75" customHeight="1">
      <c r="M536" s="65"/>
    </row>
    <row r="537" ht="15.75" customHeight="1">
      <c r="M537" s="65"/>
    </row>
    <row r="538" ht="15.75" customHeight="1">
      <c r="M538" s="65"/>
    </row>
    <row r="539" ht="15.75" customHeight="1">
      <c r="M539" s="65"/>
    </row>
    <row r="540" ht="15.75" customHeight="1">
      <c r="M540" s="65"/>
    </row>
    <row r="541" ht="15.75" customHeight="1">
      <c r="M541" s="65"/>
    </row>
    <row r="542" ht="15.75" customHeight="1">
      <c r="M542" s="65"/>
    </row>
    <row r="543" ht="15.75" customHeight="1">
      <c r="M543" s="65"/>
    </row>
    <row r="544" ht="15.75" customHeight="1">
      <c r="M544" s="65"/>
    </row>
    <row r="545" ht="15.75" customHeight="1">
      <c r="M545" s="65"/>
    </row>
    <row r="546" ht="15.75" customHeight="1">
      <c r="M546" s="65"/>
    </row>
    <row r="547" ht="15.75" customHeight="1">
      <c r="M547" s="65"/>
    </row>
    <row r="548" ht="15.75" customHeight="1">
      <c r="M548" s="65"/>
    </row>
    <row r="549" ht="15.75" customHeight="1">
      <c r="M549" s="65"/>
    </row>
    <row r="550" ht="15.75" customHeight="1">
      <c r="M550" s="65"/>
    </row>
    <row r="551" ht="15.75" customHeight="1">
      <c r="M551" s="65"/>
    </row>
    <row r="552" ht="15.75" customHeight="1">
      <c r="M552" s="65"/>
    </row>
    <row r="553" ht="15.75" customHeight="1">
      <c r="M553" s="65"/>
    </row>
    <row r="554" ht="15.75" customHeight="1">
      <c r="M554" s="65"/>
    </row>
    <row r="555" ht="15.75" customHeight="1">
      <c r="M555" s="65"/>
    </row>
    <row r="556" ht="15.75" customHeight="1">
      <c r="M556" s="65"/>
    </row>
    <row r="557" ht="15.75" customHeight="1">
      <c r="M557" s="65"/>
    </row>
    <row r="558" ht="15.75" customHeight="1">
      <c r="M558" s="65"/>
    </row>
    <row r="559" ht="15.75" customHeight="1">
      <c r="M559" s="65"/>
    </row>
    <row r="560" ht="15.75" customHeight="1">
      <c r="M560" s="65"/>
    </row>
    <row r="561" ht="15.75" customHeight="1">
      <c r="M561" s="65"/>
    </row>
    <row r="562" ht="15.75" customHeight="1">
      <c r="M562" s="65"/>
    </row>
    <row r="563" ht="15.75" customHeight="1">
      <c r="M563" s="65"/>
    </row>
    <row r="564" ht="15.75" customHeight="1">
      <c r="M564" s="65"/>
    </row>
    <row r="565" ht="15.75" customHeight="1">
      <c r="M565" s="65"/>
    </row>
    <row r="566" ht="15.75" customHeight="1">
      <c r="M566" s="65"/>
    </row>
    <row r="567" ht="15.75" customHeight="1">
      <c r="M567" s="65"/>
    </row>
    <row r="568" ht="15.75" customHeight="1">
      <c r="M568" s="65"/>
    </row>
    <row r="569" ht="15.75" customHeight="1">
      <c r="M569" s="65"/>
    </row>
    <row r="570" ht="15.75" customHeight="1">
      <c r="M570" s="65"/>
    </row>
    <row r="571" ht="15.75" customHeight="1">
      <c r="M571" s="65"/>
    </row>
    <row r="572" ht="15.75" customHeight="1">
      <c r="M572" s="65"/>
    </row>
    <row r="573" ht="15.75" customHeight="1">
      <c r="M573" s="65"/>
    </row>
    <row r="574" ht="15.75" customHeight="1">
      <c r="M574" s="65"/>
    </row>
    <row r="575" ht="15.75" customHeight="1">
      <c r="M575" s="65"/>
    </row>
    <row r="576" ht="15.75" customHeight="1">
      <c r="M576" s="65"/>
    </row>
    <row r="577" ht="15.75" customHeight="1">
      <c r="M577" s="65"/>
    </row>
    <row r="578" ht="15.75" customHeight="1">
      <c r="M578" s="65"/>
    </row>
    <row r="579" ht="15.75" customHeight="1">
      <c r="M579" s="65"/>
    </row>
    <row r="580" ht="15.75" customHeight="1">
      <c r="M580" s="65"/>
    </row>
    <row r="581" ht="15.75" customHeight="1">
      <c r="M581" s="65"/>
    </row>
    <row r="582" ht="15.75" customHeight="1">
      <c r="M582" s="65"/>
    </row>
    <row r="583" ht="15.75" customHeight="1">
      <c r="M583" s="65"/>
    </row>
    <row r="584" ht="15.75" customHeight="1">
      <c r="M584" s="65"/>
    </row>
    <row r="585" ht="15.75" customHeight="1">
      <c r="M585" s="65"/>
    </row>
    <row r="586" ht="15.75" customHeight="1">
      <c r="M586" s="65"/>
    </row>
    <row r="587" ht="15.75" customHeight="1">
      <c r="M587" s="65"/>
    </row>
    <row r="588" ht="15.75" customHeight="1">
      <c r="M588" s="65"/>
    </row>
    <row r="589" ht="15.75" customHeight="1">
      <c r="M589" s="65"/>
    </row>
    <row r="590" ht="15.75" customHeight="1">
      <c r="M590" s="65"/>
    </row>
    <row r="591" ht="15.75" customHeight="1">
      <c r="M591" s="65"/>
    </row>
    <row r="592" ht="15.75" customHeight="1">
      <c r="M592" s="65"/>
    </row>
    <row r="593" ht="15.75" customHeight="1">
      <c r="M593" s="65"/>
    </row>
    <row r="594" ht="15.75" customHeight="1">
      <c r="M594" s="65"/>
    </row>
    <row r="595" ht="15.75" customHeight="1">
      <c r="M595" s="65"/>
    </row>
    <row r="596" ht="15.75" customHeight="1">
      <c r="M596" s="65"/>
    </row>
    <row r="597" ht="15.75" customHeight="1">
      <c r="M597" s="65"/>
    </row>
    <row r="598" ht="15.75" customHeight="1">
      <c r="M598" s="65"/>
    </row>
    <row r="599" ht="15.75" customHeight="1">
      <c r="M599" s="65"/>
    </row>
    <row r="600" ht="15.75" customHeight="1">
      <c r="M600" s="65"/>
    </row>
    <row r="601" ht="15.75" customHeight="1">
      <c r="M601" s="65"/>
    </row>
    <row r="602" ht="15.75" customHeight="1">
      <c r="M602" s="65"/>
    </row>
    <row r="603" ht="15.75" customHeight="1">
      <c r="M603" s="65"/>
    </row>
    <row r="604" ht="15.75" customHeight="1">
      <c r="M604" s="65"/>
    </row>
    <row r="605" ht="15.75" customHeight="1">
      <c r="M605" s="65"/>
    </row>
    <row r="606" ht="15.75" customHeight="1">
      <c r="M606" s="65"/>
    </row>
    <row r="607" ht="15.75" customHeight="1">
      <c r="M607" s="65"/>
    </row>
    <row r="608" ht="15.75" customHeight="1">
      <c r="M608" s="65"/>
    </row>
    <row r="609" ht="15.75" customHeight="1">
      <c r="M609" s="65"/>
    </row>
    <row r="610" ht="15.75" customHeight="1">
      <c r="M610" s="65"/>
    </row>
    <row r="611" ht="15.75" customHeight="1">
      <c r="M611" s="65"/>
    </row>
    <row r="612" ht="15.75" customHeight="1">
      <c r="M612" s="65"/>
    </row>
    <row r="613" ht="15.75" customHeight="1">
      <c r="M613" s="65"/>
    </row>
    <row r="614" ht="15.75" customHeight="1">
      <c r="M614" s="65"/>
    </row>
    <row r="615" ht="15.75" customHeight="1">
      <c r="M615" s="65"/>
    </row>
    <row r="616" ht="15.75" customHeight="1">
      <c r="M616" s="65"/>
    </row>
    <row r="617" ht="15.75" customHeight="1">
      <c r="M617" s="65"/>
    </row>
    <row r="618" ht="15.75" customHeight="1">
      <c r="M618" s="65"/>
    </row>
    <row r="619" ht="15.75" customHeight="1">
      <c r="M619" s="65"/>
    </row>
    <row r="620" ht="15.75" customHeight="1">
      <c r="M620" s="65"/>
    </row>
    <row r="621" ht="15.75" customHeight="1">
      <c r="M621" s="65"/>
    </row>
    <row r="622" ht="15.75" customHeight="1">
      <c r="M622" s="65"/>
    </row>
    <row r="623" ht="15.75" customHeight="1">
      <c r="M623" s="65"/>
    </row>
    <row r="624" ht="15.75" customHeight="1">
      <c r="M624" s="65"/>
    </row>
    <row r="625" ht="15.75" customHeight="1">
      <c r="M625" s="65"/>
    </row>
    <row r="626" ht="15.75" customHeight="1">
      <c r="M626" s="65"/>
    </row>
    <row r="627" ht="15.75" customHeight="1">
      <c r="M627" s="65"/>
    </row>
    <row r="628" ht="15.75" customHeight="1">
      <c r="M628" s="65"/>
    </row>
    <row r="629" ht="15.75" customHeight="1">
      <c r="M629" s="65"/>
    </row>
    <row r="630" ht="15.75" customHeight="1">
      <c r="M630" s="65"/>
    </row>
    <row r="631" ht="15.75" customHeight="1">
      <c r="M631" s="65"/>
    </row>
    <row r="632" ht="15.75" customHeight="1">
      <c r="M632" s="65"/>
    </row>
    <row r="633" ht="15.75" customHeight="1">
      <c r="M633" s="65"/>
    </row>
    <row r="634" ht="15.75" customHeight="1">
      <c r="M634" s="65"/>
    </row>
    <row r="635" ht="15.75" customHeight="1">
      <c r="M635" s="65"/>
    </row>
    <row r="636" ht="15.75" customHeight="1">
      <c r="M636" s="65"/>
    </row>
    <row r="637" ht="15.75" customHeight="1">
      <c r="M637" s="65"/>
    </row>
    <row r="638" ht="15.75" customHeight="1">
      <c r="M638" s="65"/>
    </row>
    <row r="639" ht="15.75" customHeight="1">
      <c r="M639" s="65"/>
    </row>
    <row r="640" ht="15.75" customHeight="1">
      <c r="M640" s="65"/>
    </row>
    <row r="641" ht="15.75" customHeight="1">
      <c r="M641" s="65"/>
    </row>
    <row r="642" ht="15.75" customHeight="1">
      <c r="M642" s="65"/>
    </row>
    <row r="643" ht="15.75" customHeight="1">
      <c r="M643" s="65"/>
    </row>
    <row r="644" ht="15.75" customHeight="1">
      <c r="M644" s="65"/>
    </row>
    <row r="645" ht="15.75" customHeight="1">
      <c r="M645" s="65"/>
    </row>
    <row r="646" ht="15.75" customHeight="1">
      <c r="M646" s="65"/>
    </row>
    <row r="647" ht="15.75" customHeight="1">
      <c r="M647" s="65"/>
    </row>
    <row r="648" ht="15.75" customHeight="1">
      <c r="M648" s="65"/>
    </row>
    <row r="649" ht="15.75" customHeight="1">
      <c r="M649" s="65"/>
    </row>
    <row r="650" ht="15.75" customHeight="1">
      <c r="M650" s="65"/>
    </row>
    <row r="651" ht="15.75" customHeight="1">
      <c r="M651" s="65"/>
    </row>
    <row r="652" ht="15.75" customHeight="1">
      <c r="M652" s="65"/>
    </row>
    <row r="653" ht="15.75" customHeight="1">
      <c r="M653" s="65"/>
    </row>
    <row r="654" ht="15.75" customHeight="1">
      <c r="M654" s="65"/>
    </row>
    <row r="655" ht="15.75" customHeight="1">
      <c r="M655" s="65"/>
    </row>
    <row r="656" ht="15.75" customHeight="1">
      <c r="M656" s="65"/>
    </row>
    <row r="657" ht="15.75" customHeight="1">
      <c r="M657" s="65"/>
    </row>
    <row r="658" ht="15.75" customHeight="1">
      <c r="M658" s="65"/>
    </row>
    <row r="659" ht="15.75" customHeight="1">
      <c r="M659" s="65"/>
    </row>
    <row r="660" ht="15.75" customHeight="1">
      <c r="M660" s="65"/>
    </row>
    <row r="661" ht="15.75" customHeight="1">
      <c r="M661" s="65"/>
    </row>
    <row r="662" ht="15.75" customHeight="1">
      <c r="M662" s="65"/>
    </row>
    <row r="663" ht="15.75" customHeight="1">
      <c r="M663" s="65"/>
    </row>
    <row r="664" ht="15.75" customHeight="1">
      <c r="M664" s="65"/>
    </row>
    <row r="665" ht="15.75" customHeight="1">
      <c r="M665" s="65"/>
    </row>
    <row r="666" ht="15.75" customHeight="1">
      <c r="M666" s="65"/>
    </row>
    <row r="667" ht="15.75" customHeight="1">
      <c r="M667" s="65"/>
    </row>
    <row r="668" ht="15.75" customHeight="1">
      <c r="M668" s="65"/>
    </row>
    <row r="669" ht="15.75" customHeight="1">
      <c r="M669" s="65"/>
    </row>
    <row r="670" ht="15.75" customHeight="1">
      <c r="M670" s="65"/>
    </row>
    <row r="671" ht="15.75" customHeight="1">
      <c r="M671" s="65"/>
    </row>
    <row r="672" ht="15.75" customHeight="1">
      <c r="M672" s="65"/>
    </row>
    <row r="673" ht="15.75" customHeight="1">
      <c r="M673" s="65"/>
    </row>
    <row r="674" ht="15.75" customHeight="1">
      <c r="M674" s="65"/>
    </row>
    <row r="675" ht="15.75" customHeight="1">
      <c r="M675" s="65"/>
    </row>
    <row r="676" ht="15.75" customHeight="1">
      <c r="M676" s="65"/>
    </row>
    <row r="677" ht="15.75" customHeight="1">
      <c r="M677" s="65"/>
    </row>
    <row r="678" ht="15.75" customHeight="1">
      <c r="M678" s="65"/>
    </row>
    <row r="679" ht="15.75" customHeight="1">
      <c r="M679" s="65"/>
    </row>
    <row r="680" ht="15.75" customHeight="1">
      <c r="M680" s="65"/>
    </row>
    <row r="681" ht="15.75" customHeight="1">
      <c r="M681" s="65"/>
    </row>
    <row r="682" ht="15.75" customHeight="1">
      <c r="M682" s="65"/>
    </row>
    <row r="683" ht="15.75" customHeight="1">
      <c r="M683" s="65"/>
    </row>
    <row r="684" ht="15.75" customHeight="1">
      <c r="M684" s="65"/>
    </row>
    <row r="685" ht="15.75" customHeight="1">
      <c r="M685" s="65"/>
    </row>
    <row r="686" ht="15.75" customHeight="1">
      <c r="M686" s="65"/>
    </row>
    <row r="687" ht="15.75" customHeight="1">
      <c r="M687" s="65"/>
    </row>
    <row r="688" ht="15.75" customHeight="1">
      <c r="M688" s="65"/>
    </row>
    <row r="689" ht="15.75" customHeight="1">
      <c r="M689" s="65"/>
    </row>
    <row r="690" ht="15.75" customHeight="1">
      <c r="M690" s="65"/>
    </row>
    <row r="691" ht="15.75" customHeight="1">
      <c r="M691" s="65"/>
    </row>
    <row r="692" ht="15.75" customHeight="1">
      <c r="M692" s="65"/>
    </row>
    <row r="693" ht="15.75" customHeight="1">
      <c r="M693" s="65"/>
    </row>
    <row r="694" ht="15.75" customHeight="1">
      <c r="M694" s="65"/>
    </row>
    <row r="695" ht="15.75" customHeight="1">
      <c r="M695" s="65"/>
    </row>
    <row r="696" ht="15.75" customHeight="1">
      <c r="M696" s="65"/>
    </row>
    <row r="697" ht="15.75" customHeight="1">
      <c r="M697" s="65"/>
    </row>
    <row r="698" ht="15.75" customHeight="1">
      <c r="M698" s="65"/>
    </row>
    <row r="699" ht="15.75" customHeight="1">
      <c r="M699" s="65"/>
    </row>
    <row r="700" ht="15.75" customHeight="1">
      <c r="M700" s="65"/>
    </row>
    <row r="701" ht="15.75" customHeight="1">
      <c r="M701" s="65"/>
    </row>
    <row r="702" ht="15.75" customHeight="1">
      <c r="M702" s="65"/>
    </row>
    <row r="703" ht="15.75" customHeight="1">
      <c r="M703" s="65"/>
    </row>
    <row r="704" ht="15.75" customHeight="1">
      <c r="M704" s="65"/>
    </row>
    <row r="705" ht="15.75" customHeight="1">
      <c r="M705" s="65"/>
    </row>
    <row r="706" ht="15.75" customHeight="1">
      <c r="M706" s="65"/>
    </row>
    <row r="707" ht="15.75" customHeight="1">
      <c r="M707" s="65"/>
    </row>
    <row r="708" ht="15.75" customHeight="1">
      <c r="M708" s="65"/>
    </row>
    <row r="709" ht="15.75" customHeight="1">
      <c r="M709" s="65"/>
    </row>
    <row r="710" ht="15.75" customHeight="1">
      <c r="M710" s="65"/>
    </row>
    <row r="711" ht="15.75" customHeight="1">
      <c r="M711" s="65"/>
    </row>
    <row r="712" ht="15.75" customHeight="1">
      <c r="M712" s="65"/>
    </row>
    <row r="713" ht="15.75" customHeight="1">
      <c r="M713" s="65"/>
    </row>
    <row r="714" ht="15.75" customHeight="1">
      <c r="M714" s="65"/>
    </row>
    <row r="715" ht="15.75" customHeight="1">
      <c r="M715" s="65"/>
    </row>
    <row r="716" ht="15.75" customHeight="1">
      <c r="M716" s="65"/>
    </row>
    <row r="717" ht="15.75" customHeight="1">
      <c r="M717" s="65"/>
    </row>
    <row r="718" ht="15.75" customHeight="1">
      <c r="M718" s="65"/>
    </row>
    <row r="719" ht="15.75" customHeight="1">
      <c r="M719" s="65"/>
    </row>
    <row r="720" ht="15.75" customHeight="1">
      <c r="M720" s="65"/>
    </row>
    <row r="721" ht="15.75" customHeight="1">
      <c r="M721" s="65"/>
    </row>
    <row r="722" ht="15.75" customHeight="1">
      <c r="M722" s="65"/>
    </row>
    <row r="723" ht="15.75" customHeight="1">
      <c r="M723" s="65"/>
    </row>
    <row r="724" ht="15.75" customHeight="1">
      <c r="M724" s="65"/>
    </row>
    <row r="725" ht="15.75" customHeight="1">
      <c r="M725" s="65"/>
    </row>
    <row r="726" ht="15.75" customHeight="1">
      <c r="M726" s="65"/>
    </row>
    <row r="727" ht="15.75" customHeight="1">
      <c r="M727" s="65"/>
    </row>
    <row r="728" ht="15.75" customHeight="1">
      <c r="M728" s="65"/>
    </row>
    <row r="729" ht="15.75" customHeight="1">
      <c r="M729" s="65"/>
    </row>
    <row r="730" ht="15.75" customHeight="1">
      <c r="M730" s="65"/>
    </row>
    <row r="731" ht="15.75" customHeight="1">
      <c r="M731" s="65"/>
    </row>
    <row r="732" ht="15.75" customHeight="1">
      <c r="M732" s="65"/>
    </row>
    <row r="733" ht="15.75" customHeight="1">
      <c r="M733" s="65"/>
    </row>
    <row r="734" ht="15.75" customHeight="1">
      <c r="M734" s="65"/>
    </row>
    <row r="735" ht="15.75" customHeight="1">
      <c r="M735" s="65"/>
    </row>
    <row r="736" ht="15.75" customHeight="1">
      <c r="M736" s="65"/>
    </row>
    <row r="737" ht="15.75" customHeight="1">
      <c r="M737" s="65"/>
    </row>
    <row r="738" ht="15.75" customHeight="1">
      <c r="M738" s="65"/>
    </row>
    <row r="739" ht="15.75" customHeight="1">
      <c r="M739" s="65"/>
    </row>
    <row r="740" ht="15.75" customHeight="1">
      <c r="M740" s="65"/>
    </row>
    <row r="741" ht="15.75" customHeight="1">
      <c r="M741" s="65"/>
    </row>
    <row r="742" ht="15.75" customHeight="1">
      <c r="M742" s="65"/>
    </row>
    <row r="743" ht="15.75" customHeight="1">
      <c r="M743" s="65"/>
    </row>
    <row r="744" ht="15.75" customHeight="1">
      <c r="M744" s="65"/>
    </row>
    <row r="745" ht="15.75" customHeight="1">
      <c r="M745" s="65"/>
    </row>
    <row r="746" ht="15.75" customHeight="1">
      <c r="M746" s="65"/>
    </row>
    <row r="747" ht="15.75" customHeight="1">
      <c r="M747" s="65"/>
    </row>
    <row r="748" ht="15.75" customHeight="1">
      <c r="M748" s="65"/>
    </row>
    <row r="749" ht="15.75" customHeight="1">
      <c r="M749" s="65"/>
    </row>
    <row r="750" ht="15.75" customHeight="1">
      <c r="M750" s="65"/>
    </row>
    <row r="751" ht="15.75" customHeight="1">
      <c r="M751" s="65"/>
    </row>
    <row r="752" ht="15.75" customHeight="1">
      <c r="M752" s="65"/>
    </row>
    <row r="753" ht="15.75" customHeight="1">
      <c r="M753" s="65"/>
    </row>
    <row r="754" ht="15.75" customHeight="1">
      <c r="M754" s="65"/>
    </row>
    <row r="755" ht="15.75" customHeight="1">
      <c r="M755" s="65"/>
    </row>
    <row r="756" ht="15.75" customHeight="1">
      <c r="M756" s="65"/>
    </row>
    <row r="757" ht="15.75" customHeight="1">
      <c r="M757" s="65"/>
    </row>
    <row r="758" ht="15.75" customHeight="1">
      <c r="M758" s="65"/>
    </row>
    <row r="759" ht="15.75" customHeight="1">
      <c r="M759" s="65"/>
    </row>
    <row r="760" ht="15.75" customHeight="1">
      <c r="M760" s="65"/>
    </row>
    <row r="761" ht="15.75" customHeight="1">
      <c r="M761" s="65"/>
    </row>
    <row r="762" ht="15.75" customHeight="1">
      <c r="M762" s="65"/>
    </row>
    <row r="763" ht="15.75" customHeight="1">
      <c r="M763" s="65"/>
    </row>
    <row r="764" ht="15.75" customHeight="1">
      <c r="M764" s="65"/>
    </row>
    <row r="765" ht="15.75" customHeight="1">
      <c r="M765" s="65"/>
    </row>
    <row r="766" ht="15.75" customHeight="1">
      <c r="M766" s="65"/>
    </row>
    <row r="767" ht="15.75" customHeight="1">
      <c r="M767" s="65"/>
    </row>
    <row r="768" ht="15.75" customHeight="1">
      <c r="M768" s="65"/>
    </row>
    <row r="769" ht="15.75" customHeight="1">
      <c r="M769" s="65"/>
    </row>
    <row r="770" ht="15.75" customHeight="1">
      <c r="M770" s="65"/>
    </row>
    <row r="771" ht="15.75" customHeight="1">
      <c r="M771" s="65"/>
    </row>
    <row r="772" ht="15.75" customHeight="1">
      <c r="M772" s="65"/>
    </row>
    <row r="773" ht="15.75" customHeight="1">
      <c r="M773" s="65"/>
    </row>
    <row r="774" ht="15.75" customHeight="1">
      <c r="M774" s="65"/>
    </row>
    <row r="775" ht="15.75" customHeight="1">
      <c r="M775" s="65"/>
    </row>
    <row r="776" ht="15.75" customHeight="1">
      <c r="M776" s="65"/>
    </row>
    <row r="777" ht="15.75" customHeight="1">
      <c r="M777" s="65"/>
    </row>
    <row r="778" ht="15.75" customHeight="1">
      <c r="M778" s="65"/>
    </row>
    <row r="779" ht="15.75" customHeight="1">
      <c r="M779" s="65"/>
    </row>
    <row r="780" ht="15.75" customHeight="1">
      <c r="M780" s="65"/>
    </row>
    <row r="781" ht="15.75" customHeight="1">
      <c r="M781" s="65"/>
    </row>
    <row r="782" ht="15.75" customHeight="1">
      <c r="M782" s="65"/>
    </row>
    <row r="783" ht="15.75" customHeight="1">
      <c r="M783" s="65"/>
    </row>
    <row r="784" ht="15.75" customHeight="1">
      <c r="M784" s="65"/>
    </row>
    <row r="785" ht="15.75" customHeight="1">
      <c r="M785" s="65"/>
    </row>
    <row r="786" ht="15.75" customHeight="1">
      <c r="M786" s="65"/>
    </row>
    <row r="787" ht="15.75" customHeight="1">
      <c r="M787" s="65"/>
    </row>
    <row r="788" ht="15.75" customHeight="1">
      <c r="M788" s="65"/>
    </row>
    <row r="789" ht="15.75" customHeight="1">
      <c r="M789" s="65"/>
    </row>
    <row r="790" ht="15.75" customHeight="1">
      <c r="M790" s="65"/>
    </row>
    <row r="791" ht="15.75" customHeight="1">
      <c r="M791" s="65"/>
    </row>
    <row r="792" ht="15.75" customHeight="1">
      <c r="M792" s="65"/>
    </row>
    <row r="793" ht="15.75" customHeight="1">
      <c r="M793" s="65"/>
    </row>
    <row r="794" ht="15.75" customHeight="1">
      <c r="M794" s="65"/>
    </row>
    <row r="795" ht="15.75" customHeight="1">
      <c r="M795" s="65"/>
    </row>
    <row r="796" ht="15.75" customHeight="1">
      <c r="M796" s="65"/>
    </row>
    <row r="797" ht="15.75" customHeight="1">
      <c r="M797" s="65"/>
    </row>
    <row r="798" ht="15.75" customHeight="1">
      <c r="M798" s="65"/>
    </row>
    <row r="799" ht="15.75" customHeight="1">
      <c r="M799" s="65"/>
    </row>
    <row r="800" ht="15.75" customHeight="1">
      <c r="M800" s="65"/>
    </row>
    <row r="801" ht="15.75" customHeight="1">
      <c r="M801" s="65"/>
    </row>
    <row r="802" ht="15.75" customHeight="1">
      <c r="M802" s="65"/>
    </row>
    <row r="803" ht="15.75" customHeight="1">
      <c r="M803" s="65"/>
    </row>
    <row r="804" ht="15.75" customHeight="1">
      <c r="M804" s="65"/>
    </row>
    <row r="805" ht="15.75" customHeight="1">
      <c r="M805" s="65"/>
    </row>
    <row r="806" ht="15.75" customHeight="1">
      <c r="M806" s="65"/>
    </row>
    <row r="807" ht="15.75" customHeight="1">
      <c r="M807" s="65"/>
    </row>
    <row r="808" ht="15.75" customHeight="1">
      <c r="M808" s="65"/>
    </row>
    <row r="809" ht="15.75" customHeight="1">
      <c r="M809" s="65"/>
    </row>
    <row r="810" ht="15.75" customHeight="1">
      <c r="M810" s="65"/>
    </row>
    <row r="811" ht="15.75" customHeight="1">
      <c r="M811" s="65"/>
    </row>
    <row r="812" ht="15.75" customHeight="1">
      <c r="M812" s="65"/>
    </row>
    <row r="813" ht="15.75" customHeight="1">
      <c r="M813" s="65"/>
    </row>
    <row r="814" ht="15.75" customHeight="1">
      <c r="M814" s="65"/>
    </row>
    <row r="815" ht="15.75" customHeight="1">
      <c r="M815" s="65"/>
    </row>
    <row r="816" ht="15.75" customHeight="1">
      <c r="M816" s="65"/>
    </row>
    <row r="817" ht="15.75" customHeight="1">
      <c r="M817" s="65"/>
    </row>
    <row r="818" ht="15.75" customHeight="1">
      <c r="M818" s="65"/>
    </row>
    <row r="819" ht="15.75" customHeight="1">
      <c r="M819" s="65"/>
    </row>
    <row r="820" ht="15.75" customHeight="1">
      <c r="M820" s="65"/>
    </row>
    <row r="821" ht="15.75" customHeight="1">
      <c r="M821" s="65"/>
    </row>
    <row r="822" ht="15.75" customHeight="1">
      <c r="M822" s="65"/>
    </row>
    <row r="823" ht="15.75" customHeight="1">
      <c r="M823" s="65"/>
    </row>
    <row r="824" ht="15.75" customHeight="1">
      <c r="M824" s="65"/>
    </row>
    <row r="825" ht="15.75" customHeight="1">
      <c r="M825" s="65"/>
    </row>
    <row r="826" ht="15.75" customHeight="1">
      <c r="M826" s="65"/>
    </row>
    <row r="827" ht="15.75" customHeight="1">
      <c r="M827" s="65"/>
    </row>
    <row r="828" ht="15.75" customHeight="1">
      <c r="M828" s="65"/>
    </row>
    <row r="829" ht="15.75" customHeight="1">
      <c r="M829" s="65"/>
    </row>
    <row r="830" ht="15.75" customHeight="1">
      <c r="M830" s="65"/>
    </row>
    <row r="831" ht="15.75" customHeight="1">
      <c r="M831" s="65"/>
    </row>
    <row r="832" ht="15.75" customHeight="1">
      <c r="M832" s="65"/>
    </row>
    <row r="833" ht="15.75" customHeight="1">
      <c r="M833" s="65"/>
    </row>
    <row r="834" ht="15.75" customHeight="1">
      <c r="M834" s="65"/>
    </row>
    <row r="835" ht="15.75" customHeight="1">
      <c r="M835" s="65"/>
    </row>
    <row r="836" ht="15.75" customHeight="1">
      <c r="M836" s="65"/>
    </row>
    <row r="837" ht="15.75" customHeight="1">
      <c r="M837" s="65"/>
    </row>
    <row r="838" ht="15.75" customHeight="1">
      <c r="M838" s="65"/>
    </row>
    <row r="839" ht="15.75" customHeight="1">
      <c r="M839" s="65"/>
    </row>
    <row r="840" ht="15.75" customHeight="1">
      <c r="M840" s="65"/>
    </row>
    <row r="841" ht="15.75" customHeight="1">
      <c r="M841" s="65"/>
    </row>
    <row r="842" ht="15.75" customHeight="1">
      <c r="M842" s="65"/>
    </row>
    <row r="843" ht="15.75" customHeight="1">
      <c r="M843" s="65"/>
    </row>
    <row r="844" ht="15.75" customHeight="1">
      <c r="M844" s="65"/>
    </row>
    <row r="845" ht="15.75" customHeight="1">
      <c r="M845" s="65"/>
    </row>
    <row r="846" ht="15.75" customHeight="1">
      <c r="M846" s="65"/>
    </row>
    <row r="847" ht="15.75" customHeight="1">
      <c r="M847" s="65"/>
    </row>
    <row r="848" ht="15.75" customHeight="1">
      <c r="M848" s="65"/>
    </row>
    <row r="849" ht="15.75" customHeight="1">
      <c r="M849" s="65"/>
    </row>
    <row r="850" ht="15.75" customHeight="1">
      <c r="M850" s="65"/>
    </row>
    <row r="851" ht="15.75" customHeight="1">
      <c r="M851" s="65"/>
    </row>
    <row r="852" ht="15.75" customHeight="1">
      <c r="M852" s="65"/>
    </row>
    <row r="853" ht="15.75" customHeight="1">
      <c r="M853" s="65"/>
    </row>
    <row r="854" ht="15.75" customHeight="1">
      <c r="M854" s="65"/>
    </row>
    <row r="855" ht="15.75" customHeight="1">
      <c r="M855" s="65"/>
    </row>
    <row r="856" ht="15.75" customHeight="1">
      <c r="M856" s="65"/>
    </row>
    <row r="857" ht="15.75" customHeight="1">
      <c r="M857" s="65"/>
    </row>
    <row r="858" ht="15.75" customHeight="1">
      <c r="M858" s="65"/>
    </row>
    <row r="859" ht="15.75" customHeight="1">
      <c r="M859" s="65"/>
    </row>
    <row r="860" ht="15.75" customHeight="1">
      <c r="M860" s="65"/>
    </row>
    <row r="861" ht="15.75" customHeight="1">
      <c r="M861" s="65"/>
    </row>
    <row r="862" ht="15.75" customHeight="1">
      <c r="M862" s="65"/>
    </row>
    <row r="863" ht="15.75" customHeight="1">
      <c r="M863" s="65"/>
    </row>
    <row r="864" ht="15.75" customHeight="1">
      <c r="M864" s="65"/>
    </row>
    <row r="865" ht="15.75" customHeight="1">
      <c r="M865" s="65"/>
    </row>
    <row r="866" ht="15.75" customHeight="1">
      <c r="M866" s="65"/>
    </row>
    <row r="867" ht="15.75" customHeight="1">
      <c r="M867" s="65"/>
    </row>
    <row r="868" ht="15.75" customHeight="1">
      <c r="M868" s="65"/>
    </row>
    <row r="869" ht="15.75" customHeight="1">
      <c r="M869" s="65"/>
    </row>
    <row r="870" ht="15.75" customHeight="1">
      <c r="M870" s="65"/>
    </row>
    <row r="871" ht="15.75" customHeight="1">
      <c r="M871" s="65"/>
    </row>
    <row r="872" ht="15.75" customHeight="1">
      <c r="M872" s="65"/>
    </row>
    <row r="873" ht="15.75" customHeight="1">
      <c r="M873" s="65"/>
    </row>
    <row r="874" ht="15.75" customHeight="1">
      <c r="M874" s="65"/>
    </row>
    <row r="875" ht="15.75" customHeight="1">
      <c r="M875" s="65"/>
    </row>
    <row r="876" ht="15.75" customHeight="1">
      <c r="M876" s="65"/>
    </row>
    <row r="877" ht="15.75" customHeight="1">
      <c r="M877" s="65"/>
    </row>
    <row r="878" ht="15.75" customHeight="1">
      <c r="M878" s="65"/>
    </row>
    <row r="879" ht="15.75" customHeight="1">
      <c r="M879" s="65"/>
    </row>
    <row r="880" ht="15.75" customHeight="1">
      <c r="M880" s="65"/>
    </row>
    <row r="881" ht="15.75" customHeight="1">
      <c r="M881" s="65"/>
    </row>
    <row r="882" ht="15.75" customHeight="1">
      <c r="M882" s="65"/>
    </row>
    <row r="883" ht="15.75" customHeight="1">
      <c r="M883" s="65"/>
    </row>
    <row r="884" ht="15.75" customHeight="1">
      <c r="M884" s="65"/>
    </row>
    <row r="885" ht="15.75" customHeight="1">
      <c r="M885" s="65"/>
    </row>
    <row r="886" ht="15.75" customHeight="1">
      <c r="M886" s="65"/>
    </row>
    <row r="887" ht="15.75" customHeight="1">
      <c r="M887" s="65"/>
    </row>
    <row r="888" ht="15.75" customHeight="1">
      <c r="M888" s="65"/>
    </row>
    <row r="889" ht="15.75" customHeight="1">
      <c r="M889" s="65"/>
    </row>
    <row r="890" ht="15.75" customHeight="1">
      <c r="M890" s="65"/>
    </row>
    <row r="891" ht="15.75" customHeight="1">
      <c r="M891" s="65"/>
    </row>
    <row r="892" ht="15.75" customHeight="1">
      <c r="M892" s="65"/>
    </row>
    <row r="893" ht="15.75" customHeight="1">
      <c r="M893" s="65"/>
    </row>
    <row r="894" ht="15.75" customHeight="1">
      <c r="M894" s="65"/>
    </row>
    <row r="895" ht="15.75" customHeight="1">
      <c r="M895" s="65"/>
    </row>
    <row r="896" ht="15.75" customHeight="1">
      <c r="M896" s="65"/>
    </row>
    <row r="897" ht="15.75" customHeight="1">
      <c r="M897" s="65"/>
    </row>
    <row r="898" ht="15.75" customHeight="1">
      <c r="M898" s="65"/>
    </row>
    <row r="899" ht="15.75" customHeight="1">
      <c r="M899" s="65"/>
    </row>
    <row r="900" ht="15.75" customHeight="1">
      <c r="M900" s="65"/>
    </row>
    <row r="901" ht="15.75" customHeight="1">
      <c r="M901" s="65"/>
    </row>
    <row r="902" ht="15.75" customHeight="1">
      <c r="M902" s="65"/>
    </row>
    <row r="903" ht="15.75" customHeight="1">
      <c r="M903" s="65"/>
    </row>
    <row r="904" ht="15.75" customHeight="1">
      <c r="M904" s="65"/>
    </row>
    <row r="905" ht="15.75" customHeight="1">
      <c r="M905" s="65"/>
    </row>
    <row r="906" ht="15.75" customHeight="1">
      <c r="M906" s="65"/>
    </row>
    <row r="907" ht="15.75" customHeight="1">
      <c r="M907" s="65"/>
    </row>
    <row r="908" ht="15.75" customHeight="1">
      <c r="M908" s="65"/>
    </row>
    <row r="909" ht="15.75" customHeight="1">
      <c r="M909" s="65"/>
    </row>
    <row r="910" ht="15.75" customHeight="1">
      <c r="M910" s="65"/>
    </row>
    <row r="911" ht="15.75" customHeight="1">
      <c r="M911" s="65"/>
    </row>
    <row r="912" ht="15.75" customHeight="1">
      <c r="M912" s="65"/>
    </row>
    <row r="913" ht="15.75" customHeight="1">
      <c r="M913" s="65"/>
    </row>
    <row r="914" ht="15.75" customHeight="1">
      <c r="M914" s="65"/>
    </row>
    <row r="915" ht="15.75" customHeight="1">
      <c r="M915" s="65"/>
    </row>
    <row r="916" ht="15.75" customHeight="1">
      <c r="M916" s="65"/>
    </row>
    <row r="917" ht="15.75" customHeight="1">
      <c r="M917" s="65"/>
    </row>
    <row r="918" ht="15.75" customHeight="1">
      <c r="M918" s="65"/>
    </row>
    <row r="919" ht="15.75" customHeight="1">
      <c r="M919" s="65"/>
    </row>
    <row r="920" ht="15.75" customHeight="1">
      <c r="M920" s="65"/>
    </row>
    <row r="921" ht="15.75" customHeight="1">
      <c r="M921" s="65"/>
    </row>
    <row r="922" ht="15.75" customHeight="1">
      <c r="M922" s="65"/>
    </row>
    <row r="923" ht="15.75" customHeight="1">
      <c r="M923" s="65"/>
    </row>
    <row r="924" ht="15.75" customHeight="1">
      <c r="M924" s="65"/>
    </row>
    <row r="925" ht="15.75" customHeight="1">
      <c r="M925" s="65"/>
    </row>
    <row r="926" ht="15.75" customHeight="1">
      <c r="M926" s="65"/>
    </row>
    <row r="927" ht="15.75" customHeight="1">
      <c r="M927" s="65"/>
    </row>
    <row r="928" ht="15.75" customHeight="1">
      <c r="M928" s="65"/>
    </row>
    <row r="929" ht="15.75" customHeight="1">
      <c r="M929" s="65"/>
    </row>
    <row r="930" ht="15.75" customHeight="1">
      <c r="M930" s="65"/>
    </row>
    <row r="931" ht="15.75" customHeight="1">
      <c r="M931" s="65"/>
    </row>
    <row r="932" ht="15.75" customHeight="1">
      <c r="M932" s="65"/>
    </row>
    <row r="933" ht="15.75" customHeight="1">
      <c r="M933" s="65"/>
    </row>
    <row r="934" ht="15.75" customHeight="1">
      <c r="M934" s="65"/>
    </row>
    <row r="935" ht="15.75" customHeight="1">
      <c r="M935" s="65"/>
    </row>
    <row r="936" ht="15.75" customHeight="1">
      <c r="M936" s="65"/>
    </row>
    <row r="937" ht="15.75" customHeight="1">
      <c r="M937" s="65"/>
    </row>
    <row r="938" ht="15.75" customHeight="1">
      <c r="M938" s="65"/>
    </row>
    <row r="939" ht="15.75" customHeight="1">
      <c r="M939" s="65"/>
    </row>
    <row r="940" ht="15.75" customHeight="1">
      <c r="M940" s="65"/>
    </row>
    <row r="941" ht="15.75" customHeight="1">
      <c r="M941" s="65"/>
    </row>
    <row r="942" ht="15.75" customHeight="1">
      <c r="M942" s="65"/>
    </row>
    <row r="943" ht="15.75" customHeight="1">
      <c r="M943" s="65"/>
    </row>
    <row r="944" ht="15.75" customHeight="1">
      <c r="M944" s="65"/>
    </row>
    <row r="945" ht="15.75" customHeight="1">
      <c r="M945" s="65"/>
    </row>
    <row r="946" ht="15.75" customHeight="1">
      <c r="M946" s="65"/>
    </row>
    <row r="947" ht="15.75" customHeight="1">
      <c r="M947" s="65"/>
    </row>
    <row r="948" ht="15.75" customHeight="1">
      <c r="M948" s="65"/>
    </row>
    <row r="949" ht="15.75" customHeight="1">
      <c r="M949" s="65"/>
    </row>
    <row r="950" ht="15.75" customHeight="1">
      <c r="M950" s="65"/>
    </row>
    <row r="951" ht="15.75" customHeight="1">
      <c r="M951" s="65"/>
    </row>
    <row r="952" ht="15.75" customHeight="1">
      <c r="M952" s="65"/>
    </row>
    <row r="953" ht="15.75" customHeight="1">
      <c r="M953" s="65"/>
    </row>
    <row r="954" ht="15.75" customHeight="1">
      <c r="M954" s="65"/>
    </row>
    <row r="955" ht="15.75" customHeight="1">
      <c r="M955" s="65"/>
    </row>
    <row r="956" ht="15.75" customHeight="1">
      <c r="M956" s="65"/>
    </row>
    <row r="957" ht="15.75" customHeight="1">
      <c r="M957" s="65"/>
    </row>
    <row r="958" ht="15.75" customHeight="1">
      <c r="M958" s="65"/>
    </row>
    <row r="959" ht="15.75" customHeight="1">
      <c r="M959" s="65"/>
    </row>
    <row r="960" ht="15.75" customHeight="1">
      <c r="M960" s="65"/>
    </row>
    <row r="961" ht="15.75" customHeight="1">
      <c r="M961" s="65"/>
    </row>
    <row r="962" ht="15.75" customHeight="1">
      <c r="M962" s="65"/>
    </row>
    <row r="963" ht="15.75" customHeight="1">
      <c r="M963" s="65"/>
    </row>
    <row r="964" ht="15.75" customHeight="1">
      <c r="M964" s="65"/>
    </row>
    <row r="965" ht="15.75" customHeight="1">
      <c r="M965" s="65"/>
    </row>
    <row r="966" ht="15.75" customHeight="1">
      <c r="M966" s="65"/>
    </row>
    <row r="967" ht="15.75" customHeight="1">
      <c r="M967" s="65"/>
    </row>
    <row r="968" ht="15.75" customHeight="1">
      <c r="M968" s="65"/>
    </row>
    <row r="969" ht="15.75" customHeight="1">
      <c r="M969" s="65"/>
    </row>
    <row r="970" ht="15.75" customHeight="1">
      <c r="M970" s="65"/>
    </row>
    <row r="971" ht="15.75" customHeight="1">
      <c r="M971" s="65"/>
    </row>
    <row r="972" ht="15.75" customHeight="1">
      <c r="M972" s="65"/>
    </row>
    <row r="973" ht="15.75" customHeight="1">
      <c r="M973" s="65"/>
    </row>
    <row r="974" ht="15.75" customHeight="1">
      <c r="M974" s="65"/>
    </row>
    <row r="975" ht="15.75" customHeight="1">
      <c r="M975" s="65"/>
    </row>
    <row r="976" ht="15.75" customHeight="1">
      <c r="M976" s="65"/>
    </row>
    <row r="977" ht="15.75" customHeight="1">
      <c r="M977" s="65"/>
    </row>
    <row r="978" ht="15.75" customHeight="1">
      <c r="M978" s="65"/>
    </row>
    <row r="979" ht="15.75" customHeight="1">
      <c r="M979" s="65"/>
    </row>
    <row r="980" ht="15.75" customHeight="1">
      <c r="M980" s="65"/>
    </row>
    <row r="981" ht="15.75" customHeight="1">
      <c r="M981" s="65"/>
    </row>
    <row r="982" ht="15.75" customHeight="1">
      <c r="M982" s="65"/>
    </row>
    <row r="983" ht="15.75" customHeight="1">
      <c r="M983" s="65"/>
    </row>
    <row r="984" ht="15.75" customHeight="1">
      <c r="M984" s="65"/>
    </row>
    <row r="985" ht="15.75" customHeight="1">
      <c r="M985" s="65"/>
    </row>
    <row r="986" ht="15.75" customHeight="1">
      <c r="M986" s="65"/>
    </row>
    <row r="987" ht="15.75" customHeight="1">
      <c r="M987" s="65"/>
    </row>
    <row r="988" ht="15.75" customHeight="1">
      <c r="M988" s="65"/>
    </row>
    <row r="989" ht="15.75" customHeight="1">
      <c r="M989" s="65"/>
    </row>
    <row r="990" ht="15.75" customHeight="1">
      <c r="M990" s="65"/>
    </row>
    <row r="991" ht="15.75" customHeight="1">
      <c r="M991" s="65"/>
    </row>
    <row r="992" ht="15.75" customHeight="1">
      <c r="M992" s="65"/>
    </row>
    <row r="993" ht="15.75" customHeight="1">
      <c r="M993" s="65"/>
    </row>
    <row r="994" ht="15.75" customHeight="1">
      <c r="M994" s="65"/>
    </row>
    <row r="995" ht="15.75" customHeight="1">
      <c r="M995" s="65"/>
    </row>
    <row r="996" ht="15.75" customHeight="1">
      <c r="M996" s="65"/>
    </row>
    <row r="997" ht="15.75" customHeight="1">
      <c r="M997" s="65"/>
    </row>
    <row r="998" ht="15.75" customHeight="1">
      <c r="M998" s="65"/>
    </row>
    <row r="999" ht="15.75" customHeight="1">
      <c r="M999" s="65"/>
    </row>
    <row r="1000" ht="15.75" customHeight="1">
      <c r="M1000" s="65"/>
    </row>
  </sheetData>
  <mergeCells count="1">
    <mergeCell ref="A2:J2"/>
  </mergeCells>
  <conditionalFormatting sqref="M5:M1000">
    <cfRule type="expression" dxfId="1" priority="1" stopIfTrue="1">
      <formula>OR($M5="Є зауваження",$M5="Перенесено")</formula>
    </cfRule>
  </conditionalFormatting>
  <conditionalFormatting sqref="M5:M1000">
    <cfRule type="expression" dxfId="2" priority="2" stopIfTrue="1">
      <formula>OR($M5="Прийнято",$M5="Клієнт питає «що далі»")</formula>
    </cfRule>
  </conditionalFormatting>
  <conditionalFormatting sqref="K5:K1000">
    <cfRule type="expression" dxfId="3" priority="3" stopIfTrue="1">
      <formula>AND($A5&lt;&gt;"",$K5="")</formula>
    </cfRule>
  </conditionalFormatting>
  <conditionalFormatting sqref="I5:I1000">
    <cfRule type="expression" dxfId="4" priority="4">
      <formula>I5="Заблоковано"</formula>
    </cfRule>
  </conditionalFormatting>
  <conditionalFormatting sqref="I5:I1000">
    <cfRule type="expression" dxfId="5" priority="5">
      <formula>I5="Прийнято"</formula>
    </cfRule>
  </conditionalFormatting>
  <dataValidations>
    <dataValidation type="list" allowBlank="1" sqref="M5:M1000">
      <formula1>"Не заплановано,Заплановано,Прийнято,Клієнт питає «що далі»,Є зауваження,Перенесено"</formula1>
    </dataValidation>
    <dataValidation type="list" allowBlank="1" sqref="I5:I500">
      <formula1>"Заплановано,В роботі,На прийомі,Прийнято,Заблоковано"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42.0"/>
    <col customWidth="1" min="4" max="4" width="12.0"/>
    <col customWidth="1" min="5" max="5" width="11.0"/>
    <col customWidth="1" min="6" max="6" width="13.0"/>
    <col customWidth="1" min="7" max="7" width="16.0"/>
    <col customWidth="1" hidden="1" min="8" max="8" width="10.0"/>
    <col customWidth="1" min="9" max="10" width="10.0"/>
    <col customWidth="1" min="11" max="11" width="30.0"/>
    <col customWidth="1" min="12" max="12" width="13.0"/>
    <col customWidth="1" min="13" max="13" width="18.71"/>
  </cols>
  <sheetData>
    <row r="1">
      <c r="A1" s="1" t="s">
        <v>165</v>
      </c>
    </row>
    <row r="2" ht="54.0" customHeight="1">
      <c r="A2" s="2" t="s">
        <v>237</v>
      </c>
    </row>
    <row r="4">
      <c r="A4" s="7" t="s">
        <v>238</v>
      </c>
      <c r="B4" s="53">
        <f>SUM(I7:I500)</f>
        <v>6</v>
      </c>
      <c r="C4" s="7" t="s">
        <v>239</v>
      </c>
      <c r="D4" s="53">
        <f>SUM(J7:J500)</f>
        <v>7</v>
      </c>
      <c r="E4" s="7" t="s">
        <v>240</v>
      </c>
      <c r="F4" s="54">
        <f>IF(B4=0,0,D4/B4)</f>
        <v>1.166666667</v>
      </c>
    </row>
    <row r="6" ht="30.0" customHeight="1">
      <c r="A6" s="4" t="s">
        <v>241</v>
      </c>
      <c r="B6" s="4" t="s">
        <v>111</v>
      </c>
      <c r="C6" s="4" t="s">
        <v>113</v>
      </c>
      <c r="D6" s="4" t="s">
        <v>242</v>
      </c>
      <c r="E6" s="4" t="s">
        <v>243</v>
      </c>
      <c r="F6" s="4" t="s">
        <v>65</v>
      </c>
      <c r="G6" s="4" t="s">
        <v>244</v>
      </c>
      <c r="H6" s="4" t="s">
        <v>245</v>
      </c>
      <c r="I6" s="4" t="s">
        <v>238</v>
      </c>
      <c r="J6" s="4" t="s">
        <v>239</v>
      </c>
      <c r="K6" s="4" t="s">
        <v>78</v>
      </c>
      <c r="L6" s="44" t="s">
        <v>246</v>
      </c>
      <c r="M6" s="44" t="s">
        <v>247</v>
      </c>
    </row>
    <row r="7">
      <c r="A7" s="27" t="s">
        <v>248</v>
      </c>
      <c r="B7" s="27" t="s">
        <v>126</v>
      </c>
      <c r="C7" s="27" t="s">
        <v>249</v>
      </c>
      <c r="D7" s="27" t="s">
        <v>250</v>
      </c>
      <c r="E7" s="27" t="s">
        <v>251</v>
      </c>
      <c r="F7" s="27" t="s">
        <v>252</v>
      </c>
      <c r="G7" s="27" t="s">
        <v>253</v>
      </c>
      <c r="H7" s="27" t="s">
        <v>254</v>
      </c>
      <c r="I7" s="27">
        <v>6.0</v>
      </c>
      <c r="J7" s="27">
        <v>7.0</v>
      </c>
      <c r="K7" s="58" t="s">
        <v>255</v>
      </c>
      <c r="L7" s="59" t="s">
        <v>101</v>
      </c>
      <c r="M7" s="60">
        <v>46339.0</v>
      </c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61"/>
      <c r="M8" s="62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61"/>
      <c r="M9" s="62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61"/>
      <c r="M10" s="62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61"/>
      <c r="M11" s="62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61"/>
      <c r="M12" s="62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61"/>
      <c r="M13" s="62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61"/>
      <c r="M14" s="62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61"/>
      <c r="M15" s="62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61"/>
      <c r="M16" s="62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61"/>
      <c r="M17" s="62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61"/>
      <c r="M18" s="62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61"/>
      <c r="M19" s="62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1"/>
      <c r="M20" s="62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61"/>
      <c r="M21" s="62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61"/>
      <c r="M22" s="62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61"/>
      <c r="M23" s="62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61"/>
      <c r="M24" s="62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61"/>
      <c r="M25" s="62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61"/>
      <c r="M26" s="62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61"/>
      <c r="M27" s="62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61"/>
      <c r="M28" s="62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61"/>
      <c r="M29" s="62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61"/>
      <c r="M30" s="62"/>
    </row>
    <row r="31" ht="15.75" customHeight="1">
      <c r="D31" s="43"/>
      <c r="E31" s="43"/>
      <c r="F31" s="43"/>
      <c r="L31" s="63"/>
      <c r="M31" s="64"/>
    </row>
    <row r="32" ht="15.75" customHeight="1">
      <c r="D32" s="43"/>
      <c r="E32" s="43"/>
      <c r="F32" s="43"/>
      <c r="L32" s="63"/>
      <c r="M32" s="64"/>
    </row>
    <row r="33" ht="15.75" customHeight="1">
      <c r="D33" s="43"/>
      <c r="E33" s="43"/>
      <c r="F33" s="43"/>
      <c r="L33" s="63"/>
      <c r="M33" s="64"/>
    </row>
    <row r="34" ht="15.75" customHeight="1">
      <c r="D34" s="43"/>
      <c r="E34" s="43"/>
      <c r="F34" s="43"/>
      <c r="L34" s="63"/>
      <c r="M34" s="64"/>
    </row>
    <row r="35" ht="15.75" customHeight="1">
      <c r="D35" s="43"/>
      <c r="E35" s="43"/>
      <c r="F35" s="43"/>
      <c r="L35" s="63"/>
      <c r="M35" s="64"/>
    </row>
    <row r="36" ht="15.75" customHeight="1">
      <c r="D36" s="43"/>
      <c r="E36" s="43"/>
      <c r="F36" s="43"/>
      <c r="L36" s="63"/>
      <c r="M36" s="64"/>
    </row>
    <row r="37" ht="15.75" customHeight="1">
      <c r="D37" s="43"/>
      <c r="E37" s="43"/>
      <c r="F37" s="43"/>
      <c r="L37" s="63"/>
      <c r="M37" s="64"/>
    </row>
    <row r="38" ht="15.75" customHeight="1">
      <c r="D38" s="43"/>
      <c r="E38" s="43"/>
      <c r="F38" s="43"/>
      <c r="L38" s="63"/>
      <c r="M38" s="64"/>
    </row>
    <row r="39" ht="15.75" customHeight="1">
      <c r="D39" s="43"/>
      <c r="E39" s="43"/>
      <c r="F39" s="43"/>
      <c r="L39" s="63"/>
      <c r="M39" s="64"/>
    </row>
    <row r="40" ht="15.75" customHeight="1">
      <c r="D40" s="43"/>
      <c r="E40" s="43"/>
      <c r="F40" s="43"/>
      <c r="L40" s="63"/>
      <c r="M40" s="64"/>
    </row>
    <row r="41" ht="15.75" customHeight="1">
      <c r="D41" s="43"/>
      <c r="E41" s="43"/>
      <c r="F41" s="43"/>
      <c r="L41" s="63"/>
      <c r="M41" s="64"/>
    </row>
    <row r="42" ht="15.75" customHeight="1">
      <c r="D42" s="43"/>
      <c r="E42" s="43"/>
      <c r="F42" s="43"/>
      <c r="L42" s="63"/>
      <c r="M42" s="64"/>
    </row>
    <row r="43" ht="15.75" customHeight="1">
      <c r="D43" s="43"/>
      <c r="E43" s="43"/>
      <c r="F43" s="43"/>
      <c r="L43" s="63"/>
      <c r="M43" s="64"/>
    </row>
    <row r="44" ht="15.75" customHeight="1">
      <c r="D44" s="43"/>
      <c r="E44" s="43"/>
      <c r="F44" s="43"/>
      <c r="L44" s="63"/>
      <c r="M44" s="64"/>
    </row>
    <row r="45" ht="15.75" customHeight="1">
      <c r="D45" s="43"/>
      <c r="E45" s="43"/>
      <c r="F45" s="43"/>
      <c r="L45" s="63"/>
      <c r="M45" s="64"/>
    </row>
    <row r="46" ht="15.75" customHeight="1">
      <c r="D46" s="43"/>
      <c r="E46" s="43"/>
      <c r="F46" s="43"/>
      <c r="L46" s="63"/>
      <c r="M46" s="64"/>
    </row>
    <row r="47" ht="15.75" customHeight="1">
      <c r="D47" s="43"/>
      <c r="E47" s="43"/>
      <c r="F47" s="43"/>
      <c r="L47" s="63"/>
      <c r="M47" s="64"/>
    </row>
    <row r="48" ht="15.75" customHeight="1">
      <c r="D48" s="43"/>
      <c r="E48" s="43"/>
      <c r="F48" s="43"/>
      <c r="L48" s="63"/>
      <c r="M48" s="64"/>
    </row>
    <row r="49" ht="15.75" customHeight="1">
      <c r="D49" s="43"/>
      <c r="E49" s="43"/>
      <c r="F49" s="43"/>
      <c r="L49" s="63"/>
      <c r="M49" s="64"/>
    </row>
    <row r="50" ht="15.75" customHeight="1">
      <c r="D50" s="43"/>
      <c r="E50" s="43"/>
      <c r="F50" s="43"/>
      <c r="L50" s="63"/>
      <c r="M50" s="64"/>
    </row>
    <row r="51" ht="15.75" customHeight="1">
      <c r="D51" s="43"/>
      <c r="E51" s="43"/>
      <c r="F51" s="43"/>
      <c r="L51" s="63"/>
      <c r="M51" s="64"/>
    </row>
    <row r="52" ht="15.75" customHeight="1">
      <c r="D52" s="43"/>
      <c r="E52" s="43"/>
      <c r="F52" s="43"/>
      <c r="L52" s="63"/>
      <c r="M52" s="64"/>
    </row>
    <row r="53" ht="15.75" customHeight="1">
      <c r="D53" s="43"/>
      <c r="E53" s="43"/>
      <c r="F53" s="43"/>
      <c r="L53" s="63"/>
      <c r="M53" s="64"/>
    </row>
    <row r="54" ht="15.75" customHeight="1">
      <c r="D54" s="43"/>
      <c r="E54" s="43"/>
      <c r="F54" s="43"/>
      <c r="L54" s="63"/>
      <c r="M54" s="64"/>
    </row>
    <row r="55" ht="15.75" customHeight="1">
      <c r="D55" s="43"/>
      <c r="E55" s="43"/>
      <c r="F55" s="43"/>
      <c r="L55" s="63"/>
      <c r="M55" s="64"/>
    </row>
    <row r="56" ht="15.75" customHeight="1">
      <c r="D56" s="43"/>
      <c r="E56" s="43"/>
      <c r="F56" s="43"/>
      <c r="L56" s="63"/>
      <c r="M56" s="64"/>
    </row>
    <row r="57" ht="15.75" customHeight="1">
      <c r="D57" s="43"/>
      <c r="E57" s="43"/>
      <c r="F57" s="43"/>
      <c r="L57" s="63"/>
      <c r="M57" s="64"/>
    </row>
    <row r="58" ht="15.75" customHeight="1">
      <c r="D58" s="43"/>
      <c r="E58" s="43"/>
      <c r="F58" s="43"/>
      <c r="L58" s="63"/>
      <c r="M58" s="64"/>
    </row>
    <row r="59" ht="15.75" customHeight="1">
      <c r="D59" s="43"/>
      <c r="E59" s="43"/>
      <c r="F59" s="43"/>
      <c r="L59" s="63"/>
      <c r="M59" s="64"/>
    </row>
    <row r="60" ht="15.75" customHeight="1">
      <c r="D60" s="43"/>
      <c r="E60" s="43"/>
      <c r="F60" s="43"/>
      <c r="L60" s="63"/>
      <c r="M60" s="64"/>
    </row>
    <row r="61" ht="15.75" customHeight="1">
      <c r="D61" s="43"/>
      <c r="E61" s="43"/>
      <c r="F61" s="43"/>
      <c r="L61" s="63"/>
      <c r="M61" s="64"/>
    </row>
    <row r="62" ht="15.75" customHeight="1">
      <c r="D62" s="43"/>
      <c r="E62" s="43"/>
      <c r="F62" s="43"/>
      <c r="L62" s="63"/>
      <c r="M62" s="64"/>
    </row>
    <row r="63" ht="15.75" customHeight="1">
      <c r="D63" s="43"/>
      <c r="E63" s="43"/>
      <c r="F63" s="43"/>
      <c r="L63" s="63"/>
      <c r="M63" s="64"/>
    </row>
    <row r="64" ht="15.75" customHeight="1">
      <c r="D64" s="43"/>
      <c r="E64" s="43"/>
      <c r="F64" s="43"/>
      <c r="L64" s="63"/>
      <c r="M64" s="64"/>
    </row>
    <row r="65" ht="15.75" customHeight="1">
      <c r="D65" s="43"/>
      <c r="E65" s="43"/>
      <c r="F65" s="43"/>
      <c r="L65" s="63"/>
      <c r="M65" s="64"/>
    </row>
    <row r="66" ht="15.75" customHeight="1">
      <c r="D66" s="43"/>
      <c r="E66" s="43"/>
      <c r="F66" s="43"/>
      <c r="L66" s="63"/>
      <c r="M66" s="64"/>
    </row>
    <row r="67" ht="15.75" customHeight="1">
      <c r="D67" s="43"/>
      <c r="E67" s="43"/>
      <c r="F67" s="43"/>
      <c r="L67" s="63"/>
      <c r="M67" s="64"/>
    </row>
    <row r="68" ht="15.75" customHeight="1">
      <c r="D68" s="43"/>
      <c r="E68" s="43"/>
      <c r="F68" s="43"/>
      <c r="L68" s="63"/>
      <c r="M68" s="64"/>
    </row>
    <row r="69" ht="15.75" customHeight="1">
      <c r="D69" s="43"/>
      <c r="E69" s="43"/>
      <c r="F69" s="43"/>
      <c r="L69" s="63"/>
      <c r="M69" s="64"/>
    </row>
    <row r="70" ht="15.75" customHeight="1">
      <c r="D70" s="43"/>
      <c r="E70" s="43"/>
      <c r="F70" s="43"/>
      <c r="L70" s="63"/>
      <c r="M70" s="64"/>
    </row>
    <row r="71" ht="15.75" customHeight="1">
      <c r="D71" s="43"/>
      <c r="E71" s="43"/>
      <c r="F71" s="43"/>
      <c r="L71" s="63"/>
      <c r="M71" s="64"/>
    </row>
    <row r="72" ht="15.75" customHeight="1">
      <c r="D72" s="43"/>
      <c r="E72" s="43"/>
      <c r="F72" s="43"/>
      <c r="L72" s="63"/>
      <c r="M72" s="64"/>
    </row>
    <row r="73" ht="15.75" customHeight="1">
      <c r="D73" s="43"/>
      <c r="E73" s="43"/>
      <c r="F73" s="43"/>
      <c r="L73" s="63"/>
      <c r="M73" s="64"/>
    </row>
    <row r="74" ht="15.75" customHeight="1">
      <c r="D74" s="43"/>
      <c r="E74" s="43"/>
      <c r="F74" s="43"/>
      <c r="L74" s="63"/>
      <c r="M74" s="64"/>
    </row>
    <row r="75" ht="15.75" customHeight="1">
      <c r="D75" s="43"/>
      <c r="E75" s="43"/>
      <c r="F75" s="43"/>
      <c r="L75" s="63"/>
      <c r="M75" s="64"/>
    </row>
    <row r="76" ht="15.75" customHeight="1">
      <c r="D76" s="43"/>
      <c r="E76" s="43"/>
      <c r="F76" s="43"/>
      <c r="L76" s="63"/>
      <c r="M76" s="64"/>
    </row>
    <row r="77" ht="15.75" customHeight="1">
      <c r="D77" s="43"/>
      <c r="E77" s="43"/>
      <c r="F77" s="43"/>
      <c r="L77" s="63"/>
      <c r="M77" s="64"/>
    </row>
    <row r="78" ht="15.75" customHeight="1">
      <c r="D78" s="43"/>
      <c r="E78" s="43"/>
      <c r="F78" s="43"/>
      <c r="L78" s="63"/>
      <c r="M78" s="64"/>
    </row>
    <row r="79" ht="15.75" customHeight="1">
      <c r="D79" s="43"/>
      <c r="E79" s="43"/>
      <c r="F79" s="43"/>
      <c r="L79" s="63"/>
      <c r="M79" s="64"/>
    </row>
    <row r="80" ht="15.75" customHeight="1">
      <c r="D80" s="43"/>
      <c r="E80" s="43"/>
      <c r="F80" s="43"/>
      <c r="L80" s="63"/>
      <c r="M80" s="64"/>
    </row>
    <row r="81" ht="15.75" customHeight="1">
      <c r="D81" s="43"/>
      <c r="E81" s="43"/>
      <c r="F81" s="43"/>
      <c r="L81" s="63"/>
      <c r="M81" s="64"/>
    </row>
    <row r="82" ht="15.75" customHeight="1">
      <c r="D82" s="43"/>
      <c r="E82" s="43"/>
      <c r="F82" s="43"/>
      <c r="L82" s="63"/>
      <c r="M82" s="64"/>
    </row>
    <row r="83" ht="15.75" customHeight="1">
      <c r="D83" s="43"/>
      <c r="E83" s="43"/>
      <c r="F83" s="43"/>
      <c r="L83" s="63"/>
      <c r="M83" s="64"/>
    </row>
    <row r="84" ht="15.75" customHeight="1">
      <c r="D84" s="43"/>
      <c r="E84" s="43"/>
      <c r="F84" s="43"/>
      <c r="L84" s="63"/>
      <c r="M84" s="64"/>
    </row>
    <row r="85" ht="15.75" customHeight="1">
      <c r="D85" s="43"/>
      <c r="E85" s="43"/>
      <c r="F85" s="43"/>
      <c r="L85" s="63"/>
      <c r="M85" s="64"/>
    </row>
    <row r="86" ht="15.75" customHeight="1">
      <c r="D86" s="43"/>
      <c r="E86" s="43"/>
      <c r="F86" s="43"/>
      <c r="L86" s="63"/>
      <c r="M86" s="64"/>
    </row>
    <row r="87" ht="15.75" customHeight="1">
      <c r="D87" s="43"/>
      <c r="E87" s="43"/>
      <c r="F87" s="43"/>
      <c r="L87" s="63"/>
      <c r="M87" s="64"/>
    </row>
    <row r="88" ht="15.75" customHeight="1">
      <c r="D88" s="43"/>
      <c r="E88" s="43"/>
      <c r="F88" s="43"/>
      <c r="L88" s="63"/>
      <c r="M88" s="64"/>
    </row>
    <row r="89" ht="15.75" customHeight="1">
      <c r="D89" s="43"/>
      <c r="E89" s="43"/>
      <c r="F89" s="43"/>
      <c r="L89" s="63"/>
      <c r="M89" s="64"/>
    </row>
    <row r="90" ht="15.75" customHeight="1">
      <c r="D90" s="43"/>
      <c r="E90" s="43"/>
      <c r="F90" s="43"/>
      <c r="L90" s="63"/>
      <c r="M90" s="64"/>
    </row>
    <row r="91" ht="15.75" customHeight="1">
      <c r="D91" s="43"/>
      <c r="E91" s="43"/>
      <c r="F91" s="43"/>
      <c r="L91" s="63"/>
      <c r="M91" s="64"/>
    </row>
    <row r="92" ht="15.75" customHeight="1">
      <c r="D92" s="43"/>
      <c r="E92" s="43"/>
      <c r="F92" s="43"/>
      <c r="L92" s="63"/>
      <c r="M92" s="64"/>
    </row>
    <row r="93" ht="15.75" customHeight="1">
      <c r="D93" s="43"/>
      <c r="E93" s="43"/>
      <c r="F93" s="43"/>
      <c r="L93" s="63"/>
      <c r="M93" s="64"/>
    </row>
    <row r="94" ht="15.75" customHeight="1">
      <c r="D94" s="43"/>
      <c r="E94" s="43"/>
      <c r="F94" s="43"/>
      <c r="L94" s="63"/>
      <c r="M94" s="64"/>
    </row>
    <row r="95" ht="15.75" customHeight="1">
      <c r="D95" s="43"/>
      <c r="E95" s="43"/>
      <c r="F95" s="43"/>
      <c r="L95" s="63"/>
      <c r="M95" s="64"/>
    </row>
    <row r="96" ht="15.75" customHeight="1">
      <c r="D96" s="43"/>
      <c r="E96" s="43"/>
      <c r="F96" s="43"/>
      <c r="L96" s="63"/>
      <c r="M96" s="64"/>
    </row>
    <row r="97" ht="15.75" customHeight="1">
      <c r="D97" s="43"/>
      <c r="E97" s="43"/>
      <c r="F97" s="43"/>
      <c r="L97" s="63"/>
      <c r="M97" s="64"/>
    </row>
    <row r="98" ht="15.75" customHeight="1">
      <c r="D98" s="43"/>
      <c r="E98" s="43"/>
      <c r="F98" s="43"/>
      <c r="L98" s="63"/>
      <c r="M98" s="64"/>
    </row>
    <row r="99" ht="15.75" customHeight="1">
      <c r="D99" s="43"/>
      <c r="E99" s="43"/>
      <c r="F99" s="43"/>
      <c r="L99" s="63"/>
      <c r="M99" s="64"/>
    </row>
    <row r="100" ht="15.75" customHeight="1">
      <c r="D100" s="43"/>
      <c r="E100" s="43"/>
      <c r="F100" s="43"/>
      <c r="L100" s="63"/>
      <c r="M100" s="64"/>
    </row>
    <row r="101" ht="15.75" customHeight="1">
      <c r="D101" s="43"/>
      <c r="E101" s="43"/>
      <c r="F101" s="43"/>
      <c r="L101" s="63"/>
      <c r="M101" s="64"/>
    </row>
    <row r="102" ht="15.75" customHeight="1">
      <c r="D102" s="43"/>
      <c r="E102" s="43"/>
      <c r="F102" s="43"/>
      <c r="L102" s="63"/>
      <c r="M102" s="64"/>
    </row>
    <row r="103" ht="15.75" customHeight="1">
      <c r="D103" s="43"/>
      <c r="E103" s="43"/>
      <c r="F103" s="43"/>
      <c r="L103" s="63"/>
      <c r="M103" s="64"/>
    </row>
    <row r="104" ht="15.75" customHeight="1">
      <c r="D104" s="43"/>
      <c r="E104" s="43"/>
      <c r="F104" s="43"/>
      <c r="L104" s="63"/>
      <c r="M104" s="64"/>
    </row>
    <row r="105" ht="15.75" customHeight="1">
      <c r="D105" s="43"/>
      <c r="E105" s="43"/>
      <c r="F105" s="43"/>
      <c r="L105" s="63"/>
      <c r="M105" s="64"/>
    </row>
    <row r="106" ht="15.75" customHeight="1">
      <c r="D106" s="43"/>
      <c r="E106" s="43"/>
      <c r="F106" s="43"/>
      <c r="L106" s="63"/>
      <c r="M106" s="64"/>
    </row>
    <row r="107" ht="15.75" customHeight="1">
      <c r="D107" s="43"/>
      <c r="E107" s="43"/>
      <c r="F107" s="43"/>
      <c r="L107" s="63"/>
      <c r="M107" s="64"/>
    </row>
    <row r="108" ht="15.75" customHeight="1">
      <c r="D108" s="43"/>
      <c r="E108" s="43"/>
      <c r="F108" s="43"/>
      <c r="L108" s="63"/>
      <c r="M108" s="64"/>
    </row>
    <row r="109" ht="15.75" customHeight="1">
      <c r="D109" s="43"/>
      <c r="E109" s="43"/>
      <c r="F109" s="43"/>
      <c r="L109" s="63"/>
      <c r="M109" s="64"/>
    </row>
    <row r="110" ht="15.75" customHeight="1">
      <c r="D110" s="43"/>
      <c r="E110" s="43"/>
      <c r="F110" s="43"/>
      <c r="L110" s="63"/>
      <c r="M110" s="64"/>
    </row>
    <row r="111" ht="15.75" customHeight="1">
      <c r="D111" s="43"/>
      <c r="E111" s="43"/>
      <c r="F111" s="43"/>
      <c r="L111" s="63"/>
      <c r="M111" s="64"/>
    </row>
    <row r="112" ht="15.75" customHeight="1">
      <c r="D112" s="43"/>
      <c r="E112" s="43"/>
      <c r="F112" s="43"/>
      <c r="L112" s="63"/>
      <c r="M112" s="64"/>
    </row>
    <row r="113" ht="15.75" customHeight="1">
      <c r="D113" s="43"/>
      <c r="E113" s="43"/>
      <c r="F113" s="43"/>
      <c r="L113" s="63"/>
      <c r="M113" s="64"/>
    </row>
    <row r="114" ht="15.75" customHeight="1">
      <c r="D114" s="43"/>
      <c r="E114" s="43"/>
      <c r="F114" s="43"/>
      <c r="L114" s="63"/>
      <c r="M114" s="64"/>
    </row>
    <row r="115" ht="15.75" customHeight="1">
      <c r="D115" s="43"/>
      <c r="E115" s="43"/>
      <c r="F115" s="43"/>
      <c r="L115" s="63"/>
      <c r="M115" s="64"/>
    </row>
    <row r="116" ht="15.75" customHeight="1">
      <c r="D116" s="43"/>
      <c r="E116" s="43"/>
      <c r="F116" s="43"/>
      <c r="L116" s="63"/>
      <c r="M116" s="64"/>
    </row>
    <row r="117" ht="15.75" customHeight="1">
      <c r="D117" s="43"/>
      <c r="E117" s="43"/>
      <c r="F117" s="43"/>
      <c r="L117" s="63"/>
      <c r="M117" s="64"/>
    </row>
    <row r="118" ht="15.75" customHeight="1">
      <c r="D118" s="43"/>
      <c r="E118" s="43"/>
      <c r="F118" s="43"/>
      <c r="L118" s="63"/>
      <c r="M118" s="64"/>
    </row>
    <row r="119" ht="15.75" customHeight="1">
      <c r="D119" s="43"/>
      <c r="E119" s="43"/>
      <c r="F119" s="43"/>
      <c r="L119" s="63"/>
      <c r="M119" s="64"/>
    </row>
    <row r="120" ht="15.75" customHeight="1">
      <c r="D120" s="43"/>
      <c r="E120" s="43"/>
      <c r="F120" s="43"/>
      <c r="L120" s="63"/>
      <c r="M120" s="64"/>
    </row>
    <row r="121" ht="15.75" customHeight="1">
      <c r="D121" s="43"/>
      <c r="E121" s="43"/>
      <c r="F121" s="43"/>
      <c r="L121" s="63"/>
      <c r="M121" s="64"/>
    </row>
    <row r="122" ht="15.75" customHeight="1">
      <c r="D122" s="43"/>
      <c r="E122" s="43"/>
      <c r="F122" s="43"/>
      <c r="L122" s="63"/>
      <c r="M122" s="64"/>
    </row>
    <row r="123" ht="15.75" customHeight="1">
      <c r="D123" s="43"/>
      <c r="E123" s="43"/>
      <c r="F123" s="43"/>
      <c r="L123" s="63"/>
      <c r="M123" s="64"/>
    </row>
    <row r="124" ht="15.75" customHeight="1">
      <c r="D124" s="43"/>
      <c r="E124" s="43"/>
      <c r="F124" s="43"/>
      <c r="L124" s="63"/>
      <c r="M124" s="64"/>
    </row>
    <row r="125" ht="15.75" customHeight="1">
      <c r="D125" s="43"/>
      <c r="E125" s="43"/>
      <c r="F125" s="43"/>
      <c r="L125" s="63"/>
      <c r="M125" s="64"/>
    </row>
    <row r="126" ht="15.75" customHeight="1">
      <c r="D126" s="43"/>
      <c r="E126" s="43"/>
      <c r="F126" s="43"/>
      <c r="L126" s="63"/>
      <c r="M126" s="64"/>
    </row>
    <row r="127" ht="15.75" customHeight="1">
      <c r="D127" s="43"/>
      <c r="E127" s="43"/>
      <c r="F127" s="43"/>
      <c r="L127" s="63"/>
      <c r="M127" s="64"/>
    </row>
    <row r="128" ht="15.75" customHeight="1">
      <c r="D128" s="43"/>
      <c r="E128" s="43"/>
      <c r="F128" s="43"/>
      <c r="L128" s="63"/>
      <c r="M128" s="64"/>
    </row>
    <row r="129" ht="15.75" customHeight="1">
      <c r="D129" s="43"/>
      <c r="E129" s="43"/>
      <c r="F129" s="43"/>
      <c r="L129" s="63"/>
      <c r="M129" s="64"/>
    </row>
    <row r="130" ht="15.75" customHeight="1">
      <c r="D130" s="43"/>
      <c r="E130" s="43"/>
      <c r="F130" s="43"/>
      <c r="L130" s="63"/>
      <c r="M130" s="64"/>
    </row>
    <row r="131" ht="15.75" customHeight="1">
      <c r="D131" s="43"/>
      <c r="E131" s="43"/>
      <c r="F131" s="43"/>
      <c r="L131" s="63"/>
      <c r="M131" s="64"/>
    </row>
    <row r="132" ht="15.75" customHeight="1">
      <c r="D132" s="43"/>
      <c r="E132" s="43"/>
      <c r="F132" s="43"/>
      <c r="L132" s="63"/>
      <c r="M132" s="64"/>
    </row>
    <row r="133" ht="15.75" customHeight="1">
      <c r="D133" s="43"/>
      <c r="E133" s="43"/>
      <c r="F133" s="43"/>
      <c r="L133" s="63"/>
      <c r="M133" s="64"/>
    </row>
    <row r="134" ht="15.75" customHeight="1">
      <c r="D134" s="43"/>
      <c r="E134" s="43"/>
      <c r="F134" s="43"/>
      <c r="L134" s="63"/>
      <c r="M134" s="64"/>
    </row>
    <row r="135" ht="15.75" customHeight="1">
      <c r="D135" s="43"/>
      <c r="E135" s="43"/>
      <c r="F135" s="43"/>
      <c r="L135" s="63"/>
      <c r="M135" s="64"/>
    </row>
    <row r="136" ht="15.75" customHeight="1">
      <c r="D136" s="43"/>
      <c r="E136" s="43"/>
      <c r="F136" s="43"/>
      <c r="L136" s="63"/>
      <c r="M136" s="64"/>
    </row>
    <row r="137" ht="15.75" customHeight="1">
      <c r="D137" s="43"/>
      <c r="E137" s="43"/>
      <c r="F137" s="43"/>
      <c r="L137" s="63"/>
      <c r="M137" s="64"/>
    </row>
    <row r="138" ht="15.75" customHeight="1">
      <c r="D138" s="43"/>
      <c r="E138" s="43"/>
      <c r="F138" s="43"/>
      <c r="L138" s="63"/>
      <c r="M138" s="64"/>
    </row>
    <row r="139" ht="15.75" customHeight="1">
      <c r="D139" s="43"/>
      <c r="E139" s="43"/>
      <c r="F139" s="43"/>
      <c r="L139" s="63"/>
      <c r="M139" s="64"/>
    </row>
    <row r="140" ht="15.75" customHeight="1">
      <c r="D140" s="43"/>
      <c r="E140" s="43"/>
      <c r="F140" s="43"/>
      <c r="L140" s="63"/>
      <c r="M140" s="64"/>
    </row>
    <row r="141" ht="15.75" customHeight="1">
      <c r="D141" s="43"/>
      <c r="E141" s="43"/>
      <c r="F141" s="43"/>
      <c r="L141" s="63"/>
      <c r="M141" s="64"/>
    </row>
    <row r="142" ht="15.75" customHeight="1">
      <c r="D142" s="43"/>
      <c r="E142" s="43"/>
      <c r="F142" s="43"/>
      <c r="L142" s="63"/>
      <c r="M142" s="64"/>
    </row>
    <row r="143" ht="15.75" customHeight="1">
      <c r="D143" s="43"/>
      <c r="E143" s="43"/>
      <c r="F143" s="43"/>
      <c r="L143" s="63"/>
      <c r="M143" s="64"/>
    </row>
    <row r="144" ht="15.75" customHeight="1">
      <c r="D144" s="43"/>
      <c r="E144" s="43"/>
      <c r="F144" s="43"/>
      <c r="L144" s="63"/>
      <c r="M144" s="64"/>
    </row>
    <row r="145" ht="15.75" customHeight="1">
      <c r="D145" s="43"/>
      <c r="E145" s="43"/>
      <c r="F145" s="43"/>
      <c r="L145" s="63"/>
      <c r="M145" s="64"/>
    </row>
    <row r="146" ht="15.75" customHeight="1">
      <c r="D146" s="43"/>
      <c r="E146" s="43"/>
      <c r="F146" s="43"/>
      <c r="L146" s="63"/>
      <c r="M146" s="64"/>
    </row>
    <row r="147" ht="15.75" customHeight="1">
      <c r="D147" s="43"/>
      <c r="E147" s="43"/>
      <c r="F147" s="43"/>
      <c r="L147" s="63"/>
      <c r="M147" s="64"/>
    </row>
    <row r="148" ht="15.75" customHeight="1">
      <c r="D148" s="43"/>
      <c r="E148" s="43"/>
      <c r="F148" s="43"/>
      <c r="L148" s="63"/>
      <c r="M148" s="64"/>
    </row>
    <row r="149" ht="15.75" customHeight="1">
      <c r="D149" s="43"/>
      <c r="E149" s="43"/>
      <c r="F149" s="43"/>
      <c r="L149" s="63"/>
      <c r="M149" s="64"/>
    </row>
    <row r="150" ht="15.75" customHeight="1">
      <c r="D150" s="43"/>
      <c r="E150" s="43"/>
      <c r="F150" s="43"/>
      <c r="L150" s="63"/>
      <c r="M150" s="64"/>
    </row>
    <row r="151" ht="15.75" customHeight="1">
      <c r="D151" s="43"/>
      <c r="E151" s="43"/>
      <c r="F151" s="43"/>
      <c r="L151" s="63"/>
      <c r="M151" s="64"/>
    </row>
    <row r="152" ht="15.75" customHeight="1">
      <c r="D152" s="43"/>
      <c r="E152" s="43"/>
      <c r="F152" s="43"/>
      <c r="L152" s="63"/>
      <c r="M152" s="64"/>
    </row>
    <row r="153" ht="15.75" customHeight="1">
      <c r="D153" s="43"/>
      <c r="E153" s="43"/>
      <c r="F153" s="43"/>
      <c r="L153" s="63"/>
      <c r="M153" s="64"/>
    </row>
    <row r="154" ht="15.75" customHeight="1">
      <c r="D154" s="43"/>
      <c r="E154" s="43"/>
      <c r="F154" s="43"/>
      <c r="L154" s="63"/>
      <c r="M154" s="64"/>
    </row>
    <row r="155" ht="15.75" customHeight="1">
      <c r="D155" s="43"/>
      <c r="E155" s="43"/>
      <c r="F155" s="43"/>
      <c r="L155" s="63"/>
      <c r="M155" s="64"/>
    </row>
    <row r="156" ht="15.75" customHeight="1">
      <c r="D156" s="43"/>
      <c r="E156" s="43"/>
      <c r="F156" s="43"/>
      <c r="L156" s="63"/>
      <c r="M156" s="64"/>
    </row>
    <row r="157" ht="15.75" customHeight="1">
      <c r="D157" s="43"/>
      <c r="E157" s="43"/>
      <c r="F157" s="43"/>
      <c r="L157" s="63"/>
      <c r="M157" s="64"/>
    </row>
    <row r="158" ht="15.75" customHeight="1">
      <c r="D158" s="43"/>
      <c r="E158" s="43"/>
      <c r="F158" s="43"/>
      <c r="L158" s="63"/>
      <c r="M158" s="64"/>
    </row>
    <row r="159" ht="15.75" customHeight="1">
      <c r="D159" s="43"/>
      <c r="E159" s="43"/>
      <c r="F159" s="43"/>
      <c r="L159" s="63"/>
      <c r="M159" s="64"/>
    </row>
    <row r="160" ht="15.75" customHeight="1">
      <c r="D160" s="43"/>
      <c r="E160" s="43"/>
      <c r="F160" s="43"/>
      <c r="L160" s="63"/>
      <c r="M160" s="64"/>
    </row>
    <row r="161" ht="15.75" customHeight="1">
      <c r="D161" s="43"/>
      <c r="E161" s="43"/>
      <c r="F161" s="43"/>
      <c r="L161" s="63"/>
      <c r="M161" s="64"/>
    </row>
    <row r="162" ht="15.75" customHeight="1">
      <c r="D162" s="43"/>
      <c r="E162" s="43"/>
      <c r="F162" s="43"/>
      <c r="L162" s="63"/>
      <c r="M162" s="64"/>
    </row>
    <row r="163" ht="15.75" customHeight="1">
      <c r="D163" s="43"/>
      <c r="E163" s="43"/>
      <c r="F163" s="43"/>
      <c r="L163" s="63"/>
      <c r="M163" s="64"/>
    </row>
    <row r="164" ht="15.75" customHeight="1">
      <c r="D164" s="43"/>
      <c r="E164" s="43"/>
      <c r="F164" s="43"/>
      <c r="L164" s="63"/>
      <c r="M164" s="64"/>
    </row>
    <row r="165" ht="15.75" customHeight="1">
      <c r="D165" s="43"/>
      <c r="E165" s="43"/>
      <c r="F165" s="43"/>
      <c r="L165" s="63"/>
      <c r="M165" s="64"/>
    </row>
    <row r="166" ht="15.75" customHeight="1">
      <c r="D166" s="43"/>
      <c r="E166" s="43"/>
      <c r="F166" s="43"/>
      <c r="L166" s="63"/>
      <c r="M166" s="64"/>
    </row>
    <row r="167" ht="15.75" customHeight="1">
      <c r="D167" s="43"/>
      <c r="E167" s="43"/>
      <c r="F167" s="43"/>
      <c r="L167" s="63"/>
      <c r="M167" s="64"/>
    </row>
    <row r="168" ht="15.75" customHeight="1">
      <c r="D168" s="43"/>
      <c r="E168" s="43"/>
      <c r="F168" s="43"/>
      <c r="L168" s="63"/>
      <c r="M168" s="64"/>
    </row>
    <row r="169" ht="15.75" customHeight="1">
      <c r="D169" s="43"/>
      <c r="E169" s="43"/>
      <c r="F169" s="43"/>
      <c r="L169" s="63"/>
      <c r="M169" s="64"/>
    </row>
    <row r="170" ht="15.75" customHeight="1">
      <c r="D170" s="43"/>
      <c r="E170" s="43"/>
      <c r="F170" s="43"/>
      <c r="L170" s="63"/>
      <c r="M170" s="64"/>
    </row>
    <row r="171" ht="15.75" customHeight="1">
      <c r="D171" s="43"/>
      <c r="E171" s="43"/>
      <c r="F171" s="43"/>
      <c r="L171" s="63"/>
      <c r="M171" s="64"/>
    </row>
    <row r="172" ht="15.75" customHeight="1">
      <c r="D172" s="43"/>
      <c r="E172" s="43"/>
      <c r="F172" s="43"/>
      <c r="L172" s="63"/>
      <c r="M172" s="64"/>
    </row>
    <row r="173" ht="15.75" customHeight="1">
      <c r="D173" s="43"/>
      <c r="E173" s="43"/>
      <c r="F173" s="43"/>
      <c r="L173" s="63"/>
      <c r="M173" s="64"/>
    </row>
    <row r="174" ht="15.75" customHeight="1">
      <c r="D174" s="43"/>
      <c r="E174" s="43"/>
      <c r="F174" s="43"/>
      <c r="L174" s="63"/>
      <c r="M174" s="64"/>
    </row>
    <row r="175" ht="15.75" customHeight="1">
      <c r="D175" s="43"/>
      <c r="E175" s="43"/>
      <c r="F175" s="43"/>
      <c r="L175" s="63"/>
      <c r="M175" s="64"/>
    </row>
    <row r="176" ht="15.75" customHeight="1">
      <c r="D176" s="43"/>
      <c r="E176" s="43"/>
      <c r="F176" s="43"/>
      <c r="L176" s="63"/>
      <c r="M176" s="64"/>
    </row>
    <row r="177" ht="15.75" customHeight="1">
      <c r="D177" s="43"/>
      <c r="E177" s="43"/>
      <c r="F177" s="43"/>
      <c r="L177" s="63"/>
      <c r="M177" s="64"/>
    </row>
    <row r="178" ht="15.75" customHeight="1">
      <c r="D178" s="43"/>
      <c r="E178" s="43"/>
      <c r="F178" s="43"/>
      <c r="L178" s="63"/>
      <c r="M178" s="64"/>
    </row>
    <row r="179" ht="15.75" customHeight="1">
      <c r="D179" s="43"/>
      <c r="E179" s="43"/>
      <c r="F179" s="43"/>
      <c r="L179" s="63"/>
      <c r="M179" s="64"/>
    </row>
    <row r="180" ht="15.75" customHeight="1">
      <c r="D180" s="43"/>
      <c r="E180" s="43"/>
      <c r="F180" s="43"/>
      <c r="L180" s="63"/>
      <c r="M180" s="64"/>
    </row>
    <row r="181" ht="15.75" customHeight="1">
      <c r="D181" s="43"/>
      <c r="E181" s="43"/>
      <c r="F181" s="43"/>
      <c r="L181" s="63"/>
      <c r="M181" s="64"/>
    </row>
    <row r="182" ht="15.75" customHeight="1">
      <c r="D182" s="43"/>
      <c r="E182" s="43"/>
      <c r="F182" s="43"/>
      <c r="L182" s="63"/>
      <c r="M182" s="64"/>
    </row>
    <row r="183" ht="15.75" customHeight="1">
      <c r="D183" s="43"/>
      <c r="E183" s="43"/>
      <c r="F183" s="43"/>
      <c r="L183" s="63"/>
      <c r="M183" s="64"/>
    </row>
    <row r="184" ht="15.75" customHeight="1">
      <c r="D184" s="43"/>
      <c r="E184" s="43"/>
      <c r="F184" s="43"/>
      <c r="L184" s="63"/>
      <c r="M184" s="64"/>
    </row>
    <row r="185" ht="15.75" customHeight="1">
      <c r="D185" s="43"/>
      <c r="E185" s="43"/>
      <c r="F185" s="43"/>
      <c r="L185" s="63"/>
      <c r="M185" s="64"/>
    </row>
    <row r="186" ht="15.75" customHeight="1">
      <c r="D186" s="43"/>
      <c r="E186" s="43"/>
      <c r="F186" s="43"/>
      <c r="L186" s="63"/>
      <c r="M186" s="64"/>
    </row>
    <row r="187" ht="15.75" customHeight="1">
      <c r="D187" s="43"/>
      <c r="E187" s="43"/>
      <c r="F187" s="43"/>
      <c r="L187" s="63"/>
      <c r="M187" s="64"/>
    </row>
    <row r="188" ht="15.75" customHeight="1">
      <c r="D188" s="43"/>
      <c r="E188" s="43"/>
      <c r="F188" s="43"/>
      <c r="L188" s="63"/>
      <c r="M188" s="64"/>
    </row>
    <row r="189" ht="15.75" customHeight="1">
      <c r="D189" s="43"/>
      <c r="E189" s="43"/>
      <c r="F189" s="43"/>
      <c r="L189" s="63"/>
      <c r="M189" s="64"/>
    </row>
    <row r="190" ht="15.75" customHeight="1">
      <c r="D190" s="43"/>
      <c r="E190" s="43"/>
      <c r="F190" s="43"/>
      <c r="L190" s="63"/>
      <c r="M190" s="64"/>
    </row>
    <row r="191" ht="15.75" customHeight="1">
      <c r="D191" s="43"/>
      <c r="E191" s="43"/>
      <c r="F191" s="43"/>
      <c r="L191" s="63"/>
      <c r="M191" s="64"/>
    </row>
    <row r="192" ht="15.75" customHeight="1">
      <c r="D192" s="43"/>
      <c r="E192" s="43"/>
      <c r="F192" s="43"/>
      <c r="L192" s="63"/>
      <c r="M192" s="64"/>
    </row>
    <row r="193" ht="15.75" customHeight="1">
      <c r="D193" s="43"/>
      <c r="E193" s="43"/>
      <c r="F193" s="43"/>
      <c r="L193" s="63"/>
      <c r="M193" s="64"/>
    </row>
    <row r="194" ht="15.75" customHeight="1">
      <c r="D194" s="43"/>
      <c r="E194" s="43"/>
      <c r="F194" s="43"/>
      <c r="L194" s="63"/>
      <c r="M194" s="64"/>
    </row>
    <row r="195" ht="15.75" customHeight="1">
      <c r="D195" s="43"/>
      <c r="E195" s="43"/>
      <c r="F195" s="43"/>
      <c r="L195" s="63"/>
      <c r="M195" s="64"/>
    </row>
    <row r="196" ht="15.75" customHeight="1">
      <c r="D196" s="43"/>
      <c r="E196" s="43"/>
      <c r="F196" s="43"/>
      <c r="L196" s="63"/>
      <c r="M196" s="64"/>
    </row>
    <row r="197" ht="15.75" customHeight="1">
      <c r="D197" s="43"/>
      <c r="E197" s="43"/>
      <c r="F197" s="43"/>
      <c r="L197" s="63"/>
      <c r="M197" s="64"/>
    </row>
    <row r="198" ht="15.75" customHeight="1">
      <c r="D198" s="43"/>
      <c r="E198" s="43"/>
      <c r="F198" s="43"/>
      <c r="L198" s="63"/>
      <c r="M198" s="64"/>
    </row>
    <row r="199" ht="15.75" customHeight="1">
      <c r="D199" s="43"/>
      <c r="E199" s="43"/>
      <c r="F199" s="43"/>
      <c r="L199" s="63"/>
      <c r="M199" s="64"/>
    </row>
    <row r="200" ht="15.75" customHeight="1">
      <c r="D200" s="43"/>
      <c r="E200" s="43"/>
      <c r="F200" s="43"/>
      <c r="L200" s="63"/>
      <c r="M200" s="64"/>
    </row>
    <row r="201" ht="15.75" customHeight="1">
      <c r="D201" s="43"/>
      <c r="E201" s="43"/>
      <c r="F201" s="43"/>
      <c r="L201" s="63"/>
      <c r="M201" s="64"/>
    </row>
    <row r="202" ht="15.75" customHeight="1">
      <c r="D202" s="43"/>
      <c r="E202" s="43"/>
      <c r="F202" s="43"/>
      <c r="L202" s="63"/>
      <c r="M202" s="64"/>
    </row>
    <row r="203" ht="15.75" customHeight="1">
      <c r="D203" s="43"/>
      <c r="E203" s="43"/>
      <c r="F203" s="43"/>
      <c r="L203" s="63"/>
      <c r="M203" s="64"/>
    </row>
    <row r="204" ht="15.75" customHeight="1">
      <c r="D204" s="43"/>
      <c r="E204" s="43"/>
      <c r="F204" s="43"/>
      <c r="L204" s="63"/>
      <c r="M204" s="64"/>
    </row>
    <row r="205" ht="15.75" customHeight="1">
      <c r="D205" s="43"/>
      <c r="E205" s="43"/>
      <c r="F205" s="43"/>
      <c r="L205" s="63"/>
      <c r="M205" s="64"/>
    </row>
    <row r="206" ht="15.75" customHeight="1">
      <c r="D206" s="43"/>
      <c r="E206" s="43"/>
      <c r="F206" s="43"/>
      <c r="L206" s="63"/>
      <c r="M206" s="64"/>
    </row>
    <row r="207" ht="15.75" customHeight="1">
      <c r="D207" s="43"/>
      <c r="E207" s="43"/>
      <c r="F207" s="43"/>
      <c r="L207" s="63"/>
      <c r="M207" s="64"/>
    </row>
    <row r="208" ht="15.75" customHeight="1">
      <c r="D208" s="43"/>
      <c r="E208" s="43"/>
      <c r="F208" s="43"/>
      <c r="L208" s="63"/>
      <c r="M208" s="64"/>
    </row>
    <row r="209" ht="15.75" customHeight="1">
      <c r="D209" s="43"/>
      <c r="E209" s="43"/>
      <c r="F209" s="43"/>
      <c r="L209" s="63"/>
      <c r="M209" s="64"/>
    </row>
    <row r="210" ht="15.75" customHeight="1">
      <c r="D210" s="43"/>
      <c r="E210" s="43"/>
      <c r="F210" s="43"/>
      <c r="L210" s="63"/>
      <c r="M210" s="64"/>
    </row>
    <row r="211" ht="15.75" customHeight="1">
      <c r="D211" s="43"/>
      <c r="E211" s="43"/>
      <c r="F211" s="43"/>
      <c r="L211" s="63"/>
      <c r="M211" s="64"/>
    </row>
    <row r="212" ht="15.75" customHeight="1">
      <c r="D212" s="43"/>
      <c r="E212" s="43"/>
      <c r="F212" s="43"/>
      <c r="L212" s="63"/>
      <c r="M212" s="64"/>
    </row>
    <row r="213" ht="15.75" customHeight="1">
      <c r="D213" s="43"/>
      <c r="E213" s="43"/>
      <c r="F213" s="43"/>
      <c r="L213" s="63"/>
      <c r="M213" s="64"/>
    </row>
    <row r="214" ht="15.75" customHeight="1">
      <c r="D214" s="43"/>
      <c r="E214" s="43"/>
      <c r="F214" s="43"/>
      <c r="L214" s="63"/>
      <c r="M214" s="64"/>
    </row>
    <row r="215" ht="15.75" customHeight="1">
      <c r="D215" s="43"/>
      <c r="E215" s="43"/>
      <c r="F215" s="43"/>
      <c r="L215" s="63"/>
      <c r="M215" s="64"/>
    </row>
    <row r="216" ht="15.75" customHeight="1">
      <c r="D216" s="43"/>
      <c r="E216" s="43"/>
      <c r="F216" s="43"/>
      <c r="L216" s="63"/>
      <c r="M216" s="64"/>
    </row>
    <row r="217" ht="15.75" customHeight="1">
      <c r="D217" s="43"/>
      <c r="E217" s="43"/>
      <c r="F217" s="43"/>
      <c r="L217" s="63"/>
      <c r="M217" s="64"/>
    </row>
    <row r="218" ht="15.75" customHeight="1">
      <c r="D218" s="43"/>
      <c r="E218" s="43"/>
      <c r="F218" s="43"/>
      <c r="L218" s="63"/>
      <c r="M218" s="64"/>
    </row>
    <row r="219" ht="15.75" customHeight="1">
      <c r="D219" s="43"/>
      <c r="E219" s="43"/>
      <c r="F219" s="43"/>
      <c r="L219" s="63"/>
      <c r="M219" s="64"/>
    </row>
    <row r="220" ht="15.75" customHeight="1">
      <c r="D220" s="43"/>
      <c r="E220" s="43"/>
      <c r="F220" s="43"/>
      <c r="L220" s="63"/>
      <c r="M220" s="64"/>
    </row>
    <row r="221" ht="15.75" customHeight="1">
      <c r="D221" s="65"/>
      <c r="E221" s="65"/>
      <c r="F221" s="65"/>
      <c r="L221" s="65"/>
    </row>
    <row r="222" ht="15.75" customHeight="1">
      <c r="D222" s="65"/>
      <c r="E222" s="65"/>
      <c r="F222" s="65"/>
      <c r="L222" s="65"/>
    </row>
    <row r="223" ht="15.75" customHeight="1">
      <c r="D223" s="65"/>
      <c r="E223" s="65"/>
      <c r="F223" s="65"/>
      <c r="L223" s="65"/>
    </row>
    <row r="224" ht="15.75" customHeight="1">
      <c r="D224" s="65"/>
      <c r="E224" s="65"/>
      <c r="F224" s="65"/>
      <c r="L224" s="65"/>
    </row>
    <row r="225" ht="15.75" customHeight="1">
      <c r="D225" s="65"/>
      <c r="E225" s="65"/>
      <c r="F225" s="65"/>
      <c r="L225" s="65"/>
    </row>
    <row r="226" ht="15.75" customHeight="1">
      <c r="D226" s="65"/>
      <c r="E226" s="65"/>
      <c r="F226" s="65"/>
      <c r="L226" s="65"/>
    </row>
    <row r="227" ht="15.75" customHeight="1">
      <c r="D227" s="65"/>
      <c r="E227" s="65"/>
      <c r="F227" s="65"/>
      <c r="L227" s="65"/>
    </row>
    <row r="228" ht="15.75" customHeight="1">
      <c r="D228" s="65"/>
      <c r="E228" s="65"/>
      <c r="F228" s="65"/>
      <c r="L228" s="65"/>
    </row>
    <row r="229" ht="15.75" customHeight="1">
      <c r="D229" s="65"/>
      <c r="E229" s="65"/>
      <c r="F229" s="65"/>
      <c r="L229" s="65"/>
    </row>
    <row r="230" ht="15.75" customHeight="1">
      <c r="D230" s="65"/>
      <c r="E230" s="65"/>
      <c r="F230" s="65"/>
      <c r="L230" s="65"/>
    </row>
    <row r="231" ht="15.75" customHeight="1">
      <c r="D231" s="65"/>
      <c r="E231" s="65"/>
      <c r="F231" s="65"/>
      <c r="L231" s="65"/>
    </row>
    <row r="232" ht="15.75" customHeight="1">
      <c r="D232" s="65"/>
      <c r="E232" s="65"/>
      <c r="F232" s="65"/>
      <c r="L232" s="65"/>
    </row>
    <row r="233" ht="15.75" customHeight="1">
      <c r="D233" s="65"/>
      <c r="E233" s="65"/>
      <c r="F233" s="65"/>
      <c r="L233" s="65"/>
    </row>
    <row r="234" ht="15.75" customHeight="1">
      <c r="D234" s="65"/>
      <c r="E234" s="65"/>
      <c r="F234" s="65"/>
      <c r="L234" s="65"/>
    </row>
    <row r="235" ht="15.75" customHeight="1">
      <c r="D235" s="65"/>
      <c r="E235" s="65"/>
      <c r="F235" s="65"/>
      <c r="L235" s="65"/>
    </row>
    <row r="236" ht="15.75" customHeight="1">
      <c r="D236" s="65"/>
      <c r="E236" s="65"/>
      <c r="F236" s="65"/>
      <c r="L236" s="65"/>
    </row>
    <row r="237" ht="15.75" customHeight="1">
      <c r="D237" s="65"/>
      <c r="E237" s="65"/>
      <c r="F237" s="65"/>
      <c r="L237" s="65"/>
    </row>
    <row r="238" ht="15.75" customHeight="1">
      <c r="D238" s="65"/>
      <c r="E238" s="65"/>
      <c r="F238" s="65"/>
      <c r="L238" s="65"/>
    </row>
    <row r="239" ht="15.75" customHeight="1">
      <c r="D239" s="65"/>
      <c r="E239" s="65"/>
      <c r="F239" s="65"/>
      <c r="L239" s="65"/>
    </row>
    <row r="240" ht="15.75" customHeight="1">
      <c r="D240" s="65"/>
      <c r="E240" s="65"/>
      <c r="F240" s="65"/>
      <c r="L240" s="65"/>
    </row>
    <row r="241" ht="15.75" customHeight="1">
      <c r="D241" s="65"/>
      <c r="E241" s="65"/>
      <c r="F241" s="65"/>
      <c r="L241" s="65"/>
    </row>
    <row r="242" ht="15.75" customHeight="1">
      <c r="D242" s="65"/>
      <c r="E242" s="65"/>
      <c r="F242" s="65"/>
      <c r="L242" s="65"/>
    </row>
    <row r="243" ht="15.75" customHeight="1">
      <c r="D243" s="65"/>
      <c r="E243" s="65"/>
      <c r="F243" s="65"/>
      <c r="L243" s="65"/>
    </row>
    <row r="244" ht="15.75" customHeight="1">
      <c r="D244" s="65"/>
      <c r="E244" s="65"/>
      <c r="F244" s="65"/>
      <c r="L244" s="65"/>
    </row>
    <row r="245" ht="15.75" customHeight="1">
      <c r="D245" s="65"/>
      <c r="E245" s="65"/>
      <c r="F245" s="65"/>
      <c r="L245" s="65"/>
    </row>
    <row r="246" ht="15.75" customHeight="1">
      <c r="D246" s="65"/>
      <c r="E246" s="65"/>
      <c r="F246" s="65"/>
      <c r="L246" s="65"/>
    </row>
    <row r="247" ht="15.75" customHeight="1">
      <c r="D247" s="65"/>
      <c r="E247" s="65"/>
      <c r="F247" s="65"/>
      <c r="L247" s="65"/>
    </row>
    <row r="248" ht="15.75" customHeight="1">
      <c r="D248" s="65"/>
      <c r="E248" s="65"/>
      <c r="F248" s="65"/>
      <c r="L248" s="65"/>
    </row>
    <row r="249" ht="15.75" customHeight="1">
      <c r="D249" s="65"/>
      <c r="E249" s="65"/>
      <c r="F249" s="65"/>
      <c r="L249" s="65"/>
    </row>
    <row r="250" ht="15.75" customHeight="1">
      <c r="D250" s="65"/>
      <c r="E250" s="65"/>
      <c r="F250" s="65"/>
      <c r="L250" s="65"/>
    </row>
    <row r="251" ht="15.75" customHeight="1">
      <c r="D251" s="65"/>
      <c r="E251" s="65"/>
      <c r="F251" s="65"/>
      <c r="L251" s="65"/>
    </row>
    <row r="252" ht="15.75" customHeight="1">
      <c r="D252" s="65"/>
      <c r="E252" s="65"/>
      <c r="F252" s="65"/>
      <c r="L252" s="65"/>
    </row>
    <row r="253" ht="15.75" customHeight="1">
      <c r="D253" s="65"/>
      <c r="E253" s="65"/>
      <c r="F253" s="65"/>
      <c r="L253" s="65"/>
    </row>
    <row r="254" ht="15.75" customHeight="1">
      <c r="D254" s="65"/>
      <c r="E254" s="65"/>
      <c r="F254" s="65"/>
      <c r="L254" s="65"/>
    </row>
    <row r="255" ht="15.75" customHeight="1">
      <c r="D255" s="65"/>
      <c r="E255" s="65"/>
      <c r="F255" s="65"/>
      <c r="L255" s="65"/>
    </row>
    <row r="256" ht="15.75" customHeight="1">
      <c r="D256" s="65"/>
      <c r="E256" s="65"/>
      <c r="F256" s="65"/>
      <c r="L256" s="65"/>
    </row>
    <row r="257" ht="15.75" customHeight="1">
      <c r="D257" s="65"/>
      <c r="E257" s="65"/>
      <c r="F257" s="65"/>
      <c r="L257" s="65"/>
    </row>
    <row r="258" ht="15.75" customHeight="1">
      <c r="D258" s="65"/>
      <c r="E258" s="65"/>
      <c r="F258" s="65"/>
      <c r="L258" s="65"/>
    </row>
    <row r="259" ht="15.75" customHeight="1">
      <c r="D259" s="65"/>
      <c r="E259" s="65"/>
      <c r="F259" s="65"/>
      <c r="L259" s="65"/>
    </row>
    <row r="260" ht="15.75" customHeight="1">
      <c r="D260" s="65"/>
      <c r="E260" s="65"/>
      <c r="F260" s="65"/>
      <c r="L260" s="65"/>
    </row>
    <row r="261" ht="15.75" customHeight="1">
      <c r="D261" s="65"/>
      <c r="E261" s="65"/>
      <c r="F261" s="65"/>
      <c r="L261" s="65"/>
    </row>
    <row r="262" ht="15.75" customHeight="1">
      <c r="D262" s="65"/>
      <c r="E262" s="65"/>
      <c r="F262" s="65"/>
      <c r="L262" s="65"/>
    </row>
    <row r="263" ht="15.75" customHeight="1">
      <c r="D263" s="65"/>
      <c r="E263" s="65"/>
      <c r="F263" s="65"/>
      <c r="L263" s="65"/>
    </row>
    <row r="264" ht="15.75" customHeight="1">
      <c r="D264" s="65"/>
      <c r="E264" s="65"/>
      <c r="F264" s="65"/>
      <c r="L264" s="65"/>
    </row>
    <row r="265" ht="15.75" customHeight="1">
      <c r="D265" s="65"/>
      <c r="E265" s="65"/>
      <c r="F265" s="65"/>
      <c r="L265" s="65"/>
    </row>
    <row r="266" ht="15.75" customHeight="1">
      <c r="D266" s="65"/>
      <c r="E266" s="65"/>
      <c r="F266" s="65"/>
      <c r="L266" s="65"/>
    </row>
    <row r="267" ht="15.75" customHeight="1">
      <c r="D267" s="65"/>
      <c r="E267" s="65"/>
      <c r="F267" s="65"/>
      <c r="L267" s="65"/>
    </row>
    <row r="268" ht="15.75" customHeight="1">
      <c r="D268" s="65"/>
      <c r="E268" s="65"/>
      <c r="F268" s="65"/>
      <c r="L268" s="65"/>
    </row>
    <row r="269" ht="15.75" customHeight="1">
      <c r="D269" s="65"/>
      <c r="E269" s="65"/>
      <c r="F269" s="65"/>
      <c r="L269" s="65"/>
    </row>
    <row r="270" ht="15.75" customHeight="1">
      <c r="D270" s="65"/>
      <c r="E270" s="65"/>
      <c r="F270" s="65"/>
      <c r="L270" s="65"/>
    </row>
    <row r="271" ht="15.75" customHeight="1">
      <c r="D271" s="65"/>
      <c r="E271" s="65"/>
      <c r="F271" s="65"/>
      <c r="L271" s="65"/>
    </row>
    <row r="272" ht="15.75" customHeight="1">
      <c r="D272" s="65"/>
      <c r="E272" s="65"/>
      <c r="F272" s="65"/>
      <c r="L272" s="65"/>
    </row>
    <row r="273" ht="15.75" customHeight="1">
      <c r="D273" s="65"/>
      <c r="E273" s="65"/>
      <c r="F273" s="65"/>
      <c r="L273" s="65"/>
    </row>
    <row r="274" ht="15.75" customHeight="1">
      <c r="D274" s="65"/>
      <c r="E274" s="65"/>
      <c r="F274" s="65"/>
      <c r="L274" s="65"/>
    </row>
    <row r="275" ht="15.75" customHeight="1">
      <c r="D275" s="65"/>
      <c r="E275" s="65"/>
      <c r="F275" s="65"/>
      <c r="L275" s="65"/>
    </row>
    <row r="276" ht="15.75" customHeight="1">
      <c r="D276" s="65"/>
      <c r="E276" s="65"/>
      <c r="F276" s="65"/>
      <c r="L276" s="65"/>
    </row>
    <row r="277" ht="15.75" customHeight="1">
      <c r="D277" s="65"/>
      <c r="E277" s="65"/>
      <c r="F277" s="65"/>
      <c r="L277" s="65"/>
    </row>
    <row r="278" ht="15.75" customHeight="1">
      <c r="D278" s="65"/>
      <c r="E278" s="65"/>
      <c r="F278" s="65"/>
      <c r="L278" s="65"/>
    </row>
    <row r="279" ht="15.75" customHeight="1">
      <c r="D279" s="65"/>
      <c r="E279" s="65"/>
      <c r="F279" s="65"/>
      <c r="L279" s="65"/>
    </row>
    <row r="280" ht="15.75" customHeight="1">
      <c r="D280" s="65"/>
      <c r="E280" s="65"/>
      <c r="F280" s="65"/>
      <c r="L280" s="65"/>
    </row>
    <row r="281" ht="15.75" customHeight="1">
      <c r="D281" s="65"/>
      <c r="E281" s="65"/>
      <c r="F281" s="65"/>
      <c r="L281" s="65"/>
    </row>
    <row r="282" ht="15.75" customHeight="1">
      <c r="D282" s="65"/>
      <c r="E282" s="65"/>
      <c r="F282" s="65"/>
      <c r="L282" s="65"/>
    </row>
    <row r="283" ht="15.75" customHeight="1">
      <c r="D283" s="65"/>
      <c r="E283" s="65"/>
      <c r="F283" s="65"/>
      <c r="L283" s="65"/>
    </row>
    <row r="284" ht="15.75" customHeight="1">
      <c r="D284" s="65"/>
      <c r="E284" s="65"/>
      <c r="F284" s="65"/>
      <c r="L284" s="65"/>
    </row>
    <row r="285" ht="15.75" customHeight="1">
      <c r="D285" s="65"/>
      <c r="E285" s="65"/>
      <c r="F285" s="65"/>
      <c r="L285" s="65"/>
    </row>
    <row r="286" ht="15.75" customHeight="1">
      <c r="D286" s="65"/>
      <c r="E286" s="65"/>
      <c r="F286" s="65"/>
      <c r="L286" s="65"/>
    </row>
    <row r="287" ht="15.75" customHeight="1">
      <c r="D287" s="65"/>
      <c r="E287" s="65"/>
      <c r="F287" s="65"/>
      <c r="L287" s="65"/>
    </row>
    <row r="288" ht="15.75" customHeight="1">
      <c r="D288" s="65"/>
      <c r="E288" s="65"/>
      <c r="F288" s="65"/>
      <c r="L288" s="65"/>
    </row>
    <row r="289" ht="15.75" customHeight="1">
      <c r="D289" s="65"/>
      <c r="E289" s="65"/>
      <c r="F289" s="65"/>
      <c r="L289" s="65"/>
    </row>
    <row r="290" ht="15.75" customHeight="1">
      <c r="D290" s="65"/>
      <c r="E290" s="65"/>
      <c r="F290" s="65"/>
      <c r="L290" s="65"/>
    </row>
    <row r="291" ht="15.75" customHeight="1">
      <c r="D291" s="65"/>
      <c r="E291" s="65"/>
      <c r="F291" s="65"/>
      <c r="L291" s="65"/>
    </row>
    <row r="292" ht="15.75" customHeight="1">
      <c r="D292" s="65"/>
      <c r="E292" s="65"/>
      <c r="F292" s="65"/>
      <c r="L292" s="65"/>
    </row>
    <row r="293" ht="15.75" customHeight="1">
      <c r="D293" s="65"/>
      <c r="E293" s="65"/>
      <c r="F293" s="65"/>
      <c r="L293" s="65"/>
    </row>
    <row r="294" ht="15.75" customHeight="1">
      <c r="D294" s="65"/>
      <c r="E294" s="65"/>
      <c r="F294" s="65"/>
      <c r="L294" s="65"/>
    </row>
    <row r="295" ht="15.75" customHeight="1">
      <c r="D295" s="65"/>
      <c r="E295" s="65"/>
      <c r="F295" s="65"/>
      <c r="L295" s="65"/>
    </row>
    <row r="296" ht="15.75" customHeight="1">
      <c r="D296" s="65"/>
      <c r="E296" s="65"/>
      <c r="F296" s="65"/>
      <c r="L296" s="65"/>
    </row>
    <row r="297" ht="15.75" customHeight="1">
      <c r="D297" s="65"/>
      <c r="E297" s="65"/>
      <c r="F297" s="65"/>
      <c r="L297" s="65"/>
    </row>
    <row r="298" ht="15.75" customHeight="1">
      <c r="D298" s="65"/>
      <c r="E298" s="65"/>
      <c r="F298" s="65"/>
      <c r="L298" s="65"/>
    </row>
    <row r="299" ht="15.75" customHeight="1">
      <c r="D299" s="65"/>
      <c r="E299" s="65"/>
      <c r="F299" s="65"/>
      <c r="L299" s="65"/>
    </row>
    <row r="300" ht="15.75" customHeight="1">
      <c r="D300" s="65"/>
      <c r="E300" s="65"/>
      <c r="F300" s="65"/>
      <c r="L300" s="65"/>
    </row>
    <row r="301" ht="15.75" customHeight="1">
      <c r="D301" s="65"/>
      <c r="E301" s="65"/>
      <c r="F301" s="65"/>
      <c r="L301" s="65"/>
    </row>
    <row r="302" ht="15.75" customHeight="1">
      <c r="D302" s="65"/>
      <c r="E302" s="65"/>
      <c r="F302" s="65"/>
      <c r="L302" s="65"/>
    </row>
    <row r="303" ht="15.75" customHeight="1">
      <c r="D303" s="65"/>
      <c r="E303" s="65"/>
      <c r="F303" s="65"/>
      <c r="L303" s="65"/>
    </row>
    <row r="304" ht="15.75" customHeight="1">
      <c r="D304" s="65"/>
      <c r="E304" s="65"/>
      <c r="F304" s="65"/>
      <c r="L304" s="65"/>
    </row>
    <row r="305" ht="15.75" customHeight="1">
      <c r="D305" s="65"/>
      <c r="E305" s="65"/>
      <c r="F305" s="65"/>
      <c r="L305" s="65"/>
    </row>
    <row r="306" ht="15.75" customHeight="1">
      <c r="D306" s="65"/>
      <c r="E306" s="65"/>
      <c r="F306" s="65"/>
      <c r="L306" s="65"/>
    </row>
    <row r="307" ht="15.75" customHeight="1">
      <c r="D307" s="65"/>
      <c r="E307" s="65"/>
      <c r="F307" s="65"/>
      <c r="L307" s="65"/>
    </row>
    <row r="308" ht="15.75" customHeight="1">
      <c r="D308" s="65"/>
      <c r="E308" s="65"/>
      <c r="F308" s="65"/>
      <c r="L308" s="65"/>
    </row>
    <row r="309" ht="15.75" customHeight="1">
      <c r="D309" s="65"/>
      <c r="E309" s="65"/>
      <c r="F309" s="65"/>
      <c r="L309" s="65"/>
    </row>
    <row r="310" ht="15.75" customHeight="1">
      <c r="D310" s="65"/>
      <c r="E310" s="65"/>
      <c r="F310" s="65"/>
      <c r="L310" s="65"/>
    </row>
    <row r="311" ht="15.75" customHeight="1">
      <c r="D311" s="65"/>
      <c r="E311" s="65"/>
      <c r="F311" s="65"/>
      <c r="L311" s="65"/>
    </row>
    <row r="312" ht="15.75" customHeight="1">
      <c r="D312" s="65"/>
      <c r="E312" s="65"/>
      <c r="F312" s="65"/>
      <c r="L312" s="65"/>
    </row>
    <row r="313" ht="15.75" customHeight="1">
      <c r="D313" s="65"/>
      <c r="E313" s="65"/>
      <c r="F313" s="65"/>
      <c r="L313" s="65"/>
    </row>
    <row r="314" ht="15.75" customHeight="1">
      <c r="D314" s="65"/>
      <c r="E314" s="65"/>
      <c r="F314" s="65"/>
      <c r="L314" s="65"/>
    </row>
    <row r="315" ht="15.75" customHeight="1">
      <c r="D315" s="65"/>
      <c r="E315" s="65"/>
      <c r="F315" s="65"/>
      <c r="L315" s="65"/>
    </row>
    <row r="316" ht="15.75" customHeight="1">
      <c r="D316" s="65"/>
      <c r="E316" s="65"/>
      <c r="F316" s="65"/>
      <c r="L316" s="65"/>
    </row>
    <row r="317" ht="15.75" customHeight="1">
      <c r="D317" s="65"/>
      <c r="E317" s="65"/>
      <c r="F317" s="65"/>
      <c r="L317" s="65"/>
    </row>
    <row r="318" ht="15.75" customHeight="1">
      <c r="D318" s="65"/>
      <c r="E318" s="65"/>
      <c r="F318" s="65"/>
      <c r="L318" s="65"/>
    </row>
    <row r="319" ht="15.75" customHeight="1">
      <c r="D319" s="65"/>
      <c r="E319" s="65"/>
      <c r="F319" s="65"/>
      <c r="L319" s="65"/>
    </row>
    <row r="320" ht="15.75" customHeight="1">
      <c r="D320" s="65"/>
      <c r="E320" s="65"/>
      <c r="F320" s="65"/>
      <c r="L320" s="65"/>
    </row>
    <row r="321" ht="15.75" customHeight="1">
      <c r="D321" s="65"/>
      <c r="E321" s="65"/>
      <c r="F321" s="65"/>
      <c r="L321" s="65"/>
    </row>
    <row r="322" ht="15.75" customHeight="1">
      <c r="D322" s="65"/>
      <c r="E322" s="65"/>
      <c r="F322" s="65"/>
      <c r="L322" s="65"/>
    </row>
    <row r="323" ht="15.75" customHeight="1">
      <c r="D323" s="65"/>
      <c r="E323" s="65"/>
      <c r="F323" s="65"/>
      <c r="L323" s="65"/>
    </row>
    <row r="324" ht="15.75" customHeight="1">
      <c r="D324" s="65"/>
      <c r="E324" s="65"/>
      <c r="F324" s="65"/>
      <c r="L324" s="65"/>
    </row>
    <row r="325" ht="15.75" customHeight="1">
      <c r="D325" s="65"/>
      <c r="E325" s="65"/>
      <c r="F325" s="65"/>
      <c r="L325" s="65"/>
    </row>
    <row r="326" ht="15.75" customHeight="1">
      <c r="D326" s="65"/>
      <c r="E326" s="65"/>
      <c r="F326" s="65"/>
      <c r="L326" s="65"/>
    </row>
    <row r="327" ht="15.75" customHeight="1">
      <c r="D327" s="65"/>
      <c r="E327" s="65"/>
      <c r="F327" s="65"/>
      <c r="L327" s="65"/>
    </row>
    <row r="328" ht="15.75" customHeight="1">
      <c r="D328" s="65"/>
      <c r="E328" s="65"/>
      <c r="F328" s="65"/>
      <c r="L328" s="65"/>
    </row>
    <row r="329" ht="15.75" customHeight="1">
      <c r="D329" s="65"/>
      <c r="E329" s="65"/>
      <c r="F329" s="65"/>
      <c r="L329" s="65"/>
    </row>
    <row r="330" ht="15.75" customHeight="1">
      <c r="D330" s="65"/>
      <c r="E330" s="65"/>
      <c r="F330" s="65"/>
      <c r="L330" s="65"/>
    </row>
    <row r="331" ht="15.75" customHeight="1">
      <c r="D331" s="65"/>
      <c r="E331" s="65"/>
      <c r="F331" s="65"/>
      <c r="L331" s="65"/>
    </row>
    <row r="332" ht="15.75" customHeight="1">
      <c r="D332" s="65"/>
      <c r="E332" s="65"/>
      <c r="F332" s="65"/>
      <c r="L332" s="65"/>
    </row>
    <row r="333" ht="15.75" customHeight="1">
      <c r="D333" s="65"/>
      <c r="E333" s="65"/>
      <c r="F333" s="65"/>
      <c r="L333" s="65"/>
    </row>
    <row r="334" ht="15.75" customHeight="1">
      <c r="D334" s="65"/>
      <c r="E334" s="65"/>
      <c r="F334" s="65"/>
      <c r="L334" s="65"/>
    </row>
    <row r="335" ht="15.75" customHeight="1">
      <c r="D335" s="65"/>
      <c r="E335" s="65"/>
      <c r="F335" s="65"/>
      <c r="L335" s="65"/>
    </row>
    <row r="336" ht="15.75" customHeight="1">
      <c r="D336" s="65"/>
      <c r="E336" s="65"/>
      <c r="F336" s="65"/>
      <c r="L336" s="65"/>
    </row>
    <row r="337" ht="15.75" customHeight="1">
      <c r="D337" s="65"/>
      <c r="E337" s="65"/>
      <c r="F337" s="65"/>
      <c r="L337" s="65"/>
    </row>
    <row r="338" ht="15.75" customHeight="1">
      <c r="D338" s="65"/>
      <c r="E338" s="65"/>
      <c r="F338" s="65"/>
      <c r="L338" s="65"/>
    </row>
    <row r="339" ht="15.75" customHeight="1">
      <c r="D339" s="65"/>
      <c r="E339" s="65"/>
      <c r="F339" s="65"/>
      <c r="L339" s="65"/>
    </row>
    <row r="340" ht="15.75" customHeight="1">
      <c r="D340" s="65"/>
      <c r="E340" s="65"/>
      <c r="F340" s="65"/>
      <c r="L340" s="65"/>
    </row>
    <row r="341" ht="15.75" customHeight="1">
      <c r="D341" s="65"/>
      <c r="E341" s="65"/>
      <c r="F341" s="65"/>
      <c r="L341" s="65"/>
    </row>
    <row r="342" ht="15.75" customHeight="1">
      <c r="D342" s="65"/>
      <c r="E342" s="65"/>
      <c r="F342" s="65"/>
      <c r="L342" s="65"/>
    </row>
    <row r="343" ht="15.75" customHeight="1">
      <c r="D343" s="65"/>
      <c r="E343" s="65"/>
      <c r="F343" s="65"/>
      <c r="L343" s="65"/>
    </row>
    <row r="344" ht="15.75" customHeight="1">
      <c r="D344" s="65"/>
      <c r="E344" s="65"/>
      <c r="F344" s="65"/>
      <c r="L344" s="65"/>
    </row>
    <row r="345" ht="15.75" customHeight="1">
      <c r="D345" s="65"/>
      <c r="E345" s="65"/>
      <c r="F345" s="65"/>
      <c r="L345" s="65"/>
    </row>
    <row r="346" ht="15.75" customHeight="1">
      <c r="D346" s="65"/>
      <c r="E346" s="65"/>
      <c r="F346" s="65"/>
      <c r="L346" s="65"/>
    </row>
    <row r="347" ht="15.75" customHeight="1">
      <c r="D347" s="65"/>
      <c r="E347" s="65"/>
      <c r="F347" s="65"/>
      <c r="L347" s="65"/>
    </row>
    <row r="348" ht="15.75" customHeight="1">
      <c r="D348" s="65"/>
      <c r="E348" s="65"/>
      <c r="F348" s="65"/>
      <c r="L348" s="65"/>
    </row>
    <row r="349" ht="15.75" customHeight="1">
      <c r="D349" s="65"/>
      <c r="E349" s="65"/>
      <c r="F349" s="65"/>
      <c r="L349" s="65"/>
    </row>
    <row r="350" ht="15.75" customHeight="1">
      <c r="D350" s="65"/>
      <c r="E350" s="65"/>
      <c r="F350" s="65"/>
      <c r="L350" s="65"/>
    </row>
    <row r="351" ht="15.75" customHeight="1">
      <c r="D351" s="65"/>
      <c r="E351" s="65"/>
      <c r="F351" s="65"/>
      <c r="L351" s="65"/>
    </row>
    <row r="352" ht="15.75" customHeight="1">
      <c r="D352" s="65"/>
      <c r="E352" s="65"/>
      <c r="F352" s="65"/>
      <c r="L352" s="65"/>
    </row>
    <row r="353" ht="15.75" customHeight="1">
      <c r="D353" s="65"/>
      <c r="E353" s="65"/>
      <c r="F353" s="65"/>
      <c r="L353" s="65"/>
    </row>
    <row r="354" ht="15.75" customHeight="1">
      <c r="D354" s="65"/>
      <c r="E354" s="65"/>
      <c r="F354" s="65"/>
      <c r="L354" s="65"/>
    </row>
    <row r="355" ht="15.75" customHeight="1">
      <c r="D355" s="65"/>
      <c r="E355" s="65"/>
      <c r="F355" s="65"/>
      <c r="L355" s="65"/>
    </row>
    <row r="356" ht="15.75" customHeight="1">
      <c r="D356" s="65"/>
      <c r="E356" s="65"/>
      <c r="F356" s="65"/>
      <c r="L356" s="65"/>
    </row>
    <row r="357" ht="15.75" customHeight="1">
      <c r="D357" s="65"/>
      <c r="E357" s="65"/>
      <c r="F357" s="65"/>
      <c r="L357" s="65"/>
    </row>
    <row r="358" ht="15.75" customHeight="1">
      <c r="D358" s="65"/>
      <c r="E358" s="65"/>
      <c r="F358" s="65"/>
      <c r="L358" s="65"/>
    </row>
    <row r="359" ht="15.75" customHeight="1">
      <c r="D359" s="65"/>
      <c r="E359" s="65"/>
      <c r="F359" s="65"/>
      <c r="L359" s="65"/>
    </row>
    <row r="360" ht="15.75" customHeight="1">
      <c r="D360" s="65"/>
      <c r="E360" s="65"/>
      <c r="F360" s="65"/>
      <c r="L360" s="65"/>
    </row>
    <row r="361" ht="15.75" customHeight="1">
      <c r="D361" s="65"/>
      <c r="E361" s="65"/>
      <c r="F361" s="65"/>
      <c r="L361" s="65"/>
    </row>
    <row r="362" ht="15.75" customHeight="1">
      <c r="D362" s="65"/>
      <c r="E362" s="65"/>
      <c r="F362" s="65"/>
      <c r="L362" s="65"/>
    </row>
    <row r="363" ht="15.75" customHeight="1">
      <c r="D363" s="65"/>
      <c r="E363" s="65"/>
      <c r="F363" s="65"/>
      <c r="L363" s="65"/>
    </row>
    <row r="364" ht="15.75" customHeight="1">
      <c r="D364" s="65"/>
      <c r="E364" s="65"/>
      <c r="F364" s="65"/>
      <c r="L364" s="65"/>
    </row>
    <row r="365" ht="15.75" customHeight="1">
      <c r="D365" s="65"/>
      <c r="E365" s="65"/>
      <c r="F365" s="65"/>
      <c r="L365" s="65"/>
    </row>
    <row r="366" ht="15.75" customHeight="1">
      <c r="D366" s="65"/>
      <c r="E366" s="65"/>
      <c r="F366" s="65"/>
      <c r="L366" s="65"/>
    </row>
    <row r="367" ht="15.75" customHeight="1">
      <c r="D367" s="65"/>
      <c r="E367" s="65"/>
      <c r="F367" s="65"/>
      <c r="L367" s="65"/>
    </row>
    <row r="368" ht="15.75" customHeight="1">
      <c r="D368" s="65"/>
      <c r="E368" s="65"/>
      <c r="F368" s="65"/>
      <c r="L368" s="65"/>
    </row>
    <row r="369" ht="15.75" customHeight="1">
      <c r="D369" s="65"/>
      <c r="E369" s="65"/>
      <c r="F369" s="65"/>
      <c r="L369" s="65"/>
    </row>
    <row r="370" ht="15.75" customHeight="1">
      <c r="D370" s="65"/>
      <c r="E370" s="65"/>
      <c r="F370" s="65"/>
      <c r="L370" s="65"/>
    </row>
    <row r="371" ht="15.75" customHeight="1">
      <c r="D371" s="65"/>
      <c r="E371" s="65"/>
      <c r="F371" s="65"/>
      <c r="L371" s="65"/>
    </row>
    <row r="372" ht="15.75" customHeight="1">
      <c r="D372" s="65"/>
      <c r="E372" s="65"/>
      <c r="F372" s="65"/>
      <c r="L372" s="65"/>
    </row>
    <row r="373" ht="15.75" customHeight="1">
      <c r="D373" s="65"/>
      <c r="E373" s="65"/>
      <c r="F373" s="65"/>
      <c r="L373" s="65"/>
    </row>
    <row r="374" ht="15.75" customHeight="1">
      <c r="D374" s="65"/>
      <c r="E374" s="65"/>
      <c r="F374" s="65"/>
      <c r="L374" s="65"/>
    </row>
    <row r="375" ht="15.75" customHeight="1">
      <c r="D375" s="65"/>
      <c r="E375" s="65"/>
      <c r="F375" s="65"/>
      <c r="L375" s="65"/>
    </row>
    <row r="376" ht="15.75" customHeight="1">
      <c r="D376" s="65"/>
      <c r="E376" s="65"/>
      <c r="F376" s="65"/>
      <c r="L376" s="65"/>
    </row>
    <row r="377" ht="15.75" customHeight="1">
      <c r="D377" s="65"/>
      <c r="E377" s="65"/>
      <c r="F377" s="65"/>
      <c r="L377" s="65"/>
    </row>
    <row r="378" ht="15.75" customHeight="1">
      <c r="D378" s="65"/>
      <c r="E378" s="65"/>
      <c r="F378" s="65"/>
      <c r="L378" s="65"/>
    </row>
    <row r="379" ht="15.75" customHeight="1">
      <c r="D379" s="65"/>
      <c r="E379" s="65"/>
      <c r="F379" s="65"/>
      <c r="L379" s="65"/>
    </row>
    <row r="380" ht="15.75" customHeight="1">
      <c r="D380" s="65"/>
      <c r="E380" s="65"/>
      <c r="F380" s="65"/>
      <c r="L380" s="65"/>
    </row>
    <row r="381" ht="15.75" customHeight="1">
      <c r="D381" s="65"/>
      <c r="E381" s="65"/>
      <c r="F381" s="65"/>
      <c r="L381" s="65"/>
    </row>
    <row r="382" ht="15.75" customHeight="1">
      <c r="D382" s="65"/>
      <c r="E382" s="65"/>
      <c r="F382" s="65"/>
      <c r="L382" s="65"/>
    </row>
    <row r="383" ht="15.75" customHeight="1">
      <c r="D383" s="65"/>
      <c r="E383" s="65"/>
      <c r="F383" s="65"/>
      <c r="L383" s="65"/>
    </row>
    <row r="384" ht="15.75" customHeight="1">
      <c r="D384" s="65"/>
      <c r="E384" s="65"/>
      <c r="F384" s="65"/>
      <c r="L384" s="65"/>
    </row>
    <row r="385" ht="15.75" customHeight="1">
      <c r="D385" s="65"/>
      <c r="E385" s="65"/>
      <c r="F385" s="65"/>
      <c r="L385" s="65"/>
    </row>
    <row r="386" ht="15.75" customHeight="1">
      <c r="D386" s="65"/>
      <c r="E386" s="65"/>
      <c r="F386" s="65"/>
      <c r="L386" s="65"/>
    </row>
    <row r="387" ht="15.75" customHeight="1">
      <c r="D387" s="65"/>
      <c r="E387" s="65"/>
      <c r="F387" s="65"/>
      <c r="L387" s="65"/>
    </row>
    <row r="388" ht="15.75" customHeight="1">
      <c r="D388" s="65"/>
      <c r="E388" s="65"/>
      <c r="F388" s="65"/>
      <c r="L388" s="65"/>
    </row>
    <row r="389" ht="15.75" customHeight="1">
      <c r="D389" s="65"/>
      <c r="E389" s="65"/>
      <c r="F389" s="65"/>
      <c r="L389" s="65"/>
    </row>
    <row r="390" ht="15.75" customHeight="1">
      <c r="D390" s="65"/>
      <c r="E390" s="65"/>
      <c r="F390" s="65"/>
      <c r="L390" s="65"/>
    </row>
    <row r="391" ht="15.75" customHeight="1">
      <c r="D391" s="65"/>
      <c r="E391" s="65"/>
      <c r="F391" s="65"/>
      <c r="L391" s="65"/>
    </row>
    <row r="392" ht="15.75" customHeight="1">
      <c r="D392" s="65"/>
      <c r="E392" s="65"/>
      <c r="F392" s="65"/>
      <c r="L392" s="65"/>
    </row>
    <row r="393" ht="15.75" customHeight="1">
      <c r="D393" s="65"/>
      <c r="E393" s="65"/>
      <c r="F393" s="65"/>
      <c r="L393" s="65"/>
    </row>
    <row r="394" ht="15.75" customHeight="1">
      <c r="D394" s="65"/>
      <c r="E394" s="65"/>
      <c r="F394" s="65"/>
      <c r="L394" s="65"/>
    </row>
    <row r="395" ht="15.75" customHeight="1">
      <c r="D395" s="65"/>
      <c r="E395" s="65"/>
      <c r="F395" s="65"/>
      <c r="L395" s="65"/>
    </row>
    <row r="396" ht="15.75" customHeight="1">
      <c r="D396" s="65"/>
      <c r="E396" s="65"/>
      <c r="F396" s="65"/>
      <c r="L396" s="65"/>
    </row>
    <row r="397" ht="15.75" customHeight="1">
      <c r="D397" s="65"/>
      <c r="E397" s="65"/>
      <c r="F397" s="65"/>
      <c r="L397" s="65"/>
    </row>
    <row r="398" ht="15.75" customHeight="1">
      <c r="D398" s="65"/>
      <c r="E398" s="65"/>
      <c r="F398" s="65"/>
      <c r="L398" s="65"/>
    </row>
    <row r="399" ht="15.75" customHeight="1">
      <c r="D399" s="65"/>
      <c r="E399" s="65"/>
      <c r="F399" s="65"/>
      <c r="L399" s="65"/>
    </row>
    <row r="400" ht="15.75" customHeight="1">
      <c r="D400" s="65"/>
      <c r="E400" s="65"/>
      <c r="F400" s="65"/>
      <c r="L400" s="65"/>
    </row>
    <row r="401" ht="15.75" customHeight="1">
      <c r="D401" s="65"/>
      <c r="E401" s="65"/>
      <c r="F401" s="65"/>
      <c r="L401" s="65"/>
    </row>
    <row r="402" ht="15.75" customHeight="1">
      <c r="D402" s="65"/>
      <c r="E402" s="65"/>
      <c r="F402" s="65"/>
      <c r="L402" s="65"/>
    </row>
    <row r="403" ht="15.75" customHeight="1">
      <c r="D403" s="65"/>
      <c r="E403" s="65"/>
      <c r="F403" s="65"/>
      <c r="L403" s="65"/>
    </row>
    <row r="404" ht="15.75" customHeight="1">
      <c r="D404" s="65"/>
      <c r="E404" s="65"/>
      <c r="F404" s="65"/>
      <c r="L404" s="65"/>
    </row>
    <row r="405" ht="15.75" customHeight="1">
      <c r="D405" s="65"/>
      <c r="E405" s="65"/>
      <c r="F405" s="65"/>
      <c r="L405" s="65"/>
    </row>
    <row r="406" ht="15.75" customHeight="1">
      <c r="D406" s="65"/>
      <c r="E406" s="65"/>
      <c r="F406" s="65"/>
      <c r="L406" s="65"/>
    </row>
    <row r="407" ht="15.75" customHeight="1">
      <c r="D407" s="65"/>
      <c r="E407" s="65"/>
      <c r="F407" s="65"/>
      <c r="L407" s="65"/>
    </row>
    <row r="408" ht="15.75" customHeight="1">
      <c r="D408" s="65"/>
      <c r="E408" s="65"/>
      <c r="F408" s="65"/>
      <c r="L408" s="65"/>
    </row>
    <row r="409" ht="15.75" customHeight="1">
      <c r="D409" s="65"/>
      <c r="E409" s="65"/>
      <c r="F409" s="65"/>
      <c r="L409" s="65"/>
    </row>
    <row r="410" ht="15.75" customHeight="1">
      <c r="D410" s="65"/>
      <c r="E410" s="65"/>
      <c r="F410" s="65"/>
      <c r="L410" s="65"/>
    </row>
    <row r="411" ht="15.75" customHeight="1">
      <c r="D411" s="65"/>
      <c r="E411" s="65"/>
      <c r="F411" s="65"/>
      <c r="L411" s="65"/>
    </row>
    <row r="412" ht="15.75" customHeight="1">
      <c r="D412" s="65"/>
      <c r="E412" s="65"/>
      <c r="F412" s="65"/>
      <c r="L412" s="65"/>
    </row>
    <row r="413" ht="15.75" customHeight="1">
      <c r="D413" s="65"/>
      <c r="E413" s="65"/>
      <c r="F413" s="65"/>
      <c r="L413" s="65"/>
    </row>
    <row r="414" ht="15.75" customHeight="1">
      <c r="D414" s="65"/>
      <c r="E414" s="65"/>
      <c r="F414" s="65"/>
      <c r="L414" s="65"/>
    </row>
    <row r="415" ht="15.75" customHeight="1">
      <c r="D415" s="65"/>
      <c r="E415" s="65"/>
      <c r="F415" s="65"/>
      <c r="L415" s="65"/>
    </row>
    <row r="416" ht="15.75" customHeight="1">
      <c r="D416" s="65"/>
      <c r="E416" s="65"/>
      <c r="F416" s="65"/>
      <c r="L416" s="65"/>
    </row>
    <row r="417" ht="15.75" customHeight="1">
      <c r="D417" s="65"/>
      <c r="E417" s="65"/>
      <c r="F417" s="65"/>
      <c r="L417" s="65"/>
    </row>
    <row r="418" ht="15.75" customHeight="1">
      <c r="D418" s="65"/>
      <c r="E418" s="65"/>
      <c r="F418" s="65"/>
      <c r="L418" s="65"/>
    </row>
    <row r="419" ht="15.75" customHeight="1">
      <c r="D419" s="65"/>
      <c r="E419" s="65"/>
      <c r="F419" s="65"/>
      <c r="L419" s="65"/>
    </row>
    <row r="420" ht="15.75" customHeight="1">
      <c r="D420" s="65"/>
      <c r="E420" s="65"/>
      <c r="F420" s="65"/>
      <c r="L420" s="65"/>
    </row>
    <row r="421" ht="15.75" customHeight="1">
      <c r="D421" s="65"/>
      <c r="E421" s="65"/>
      <c r="F421" s="65"/>
      <c r="L421" s="65"/>
    </row>
    <row r="422" ht="15.75" customHeight="1">
      <c r="D422" s="65"/>
      <c r="E422" s="65"/>
      <c r="F422" s="65"/>
      <c r="L422" s="65"/>
    </row>
    <row r="423" ht="15.75" customHeight="1">
      <c r="D423" s="65"/>
      <c r="E423" s="65"/>
      <c r="F423" s="65"/>
      <c r="L423" s="65"/>
    </row>
    <row r="424" ht="15.75" customHeight="1">
      <c r="D424" s="65"/>
      <c r="E424" s="65"/>
      <c r="F424" s="65"/>
      <c r="L424" s="65"/>
    </row>
    <row r="425" ht="15.75" customHeight="1">
      <c r="D425" s="65"/>
      <c r="E425" s="65"/>
      <c r="F425" s="65"/>
      <c r="L425" s="65"/>
    </row>
    <row r="426" ht="15.75" customHeight="1">
      <c r="D426" s="65"/>
      <c r="E426" s="65"/>
      <c r="F426" s="65"/>
      <c r="L426" s="65"/>
    </row>
    <row r="427" ht="15.75" customHeight="1">
      <c r="D427" s="65"/>
      <c r="E427" s="65"/>
      <c r="F427" s="65"/>
      <c r="L427" s="65"/>
    </row>
    <row r="428" ht="15.75" customHeight="1">
      <c r="D428" s="65"/>
      <c r="E428" s="65"/>
      <c r="F428" s="65"/>
      <c r="L428" s="65"/>
    </row>
    <row r="429" ht="15.75" customHeight="1">
      <c r="D429" s="65"/>
      <c r="E429" s="65"/>
      <c r="F429" s="65"/>
      <c r="L429" s="65"/>
    </row>
    <row r="430" ht="15.75" customHeight="1">
      <c r="D430" s="65"/>
      <c r="E430" s="65"/>
      <c r="F430" s="65"/>
      <c r="L430" s="65"/>
    </row>
    <row r="431" ht="15.75" customHeight="1">
      <c r="D431" s="65"/>
      <c r="E431" s="65"/>
      <c r="F431" s="65"/>
      <c r="L431" s="65"/>
    </row>
    <row r="432" ht="15.75" customHeight="1">
      <c r="D432" s="65"/>
      <c r="E432" s="65"/>
      <c r="F432" s="65"/>
      <c r="L432" s="65"/>
    </row>
    <row r="433" ht="15.75" customHeight="1">
      <c r="D433" s="65"/>
      <c r="E433" s="65"/>
      <c r="F433" s="65"/>
      <c r="L433" s="65"/>
    </row>
    <row r="434" ht="15.75" customHeight="1">
      <c r="D434" s="65"/>
      <c r="E434" s="65"/>
      <c r="F434" s="65"/>
      <c r="L434" s="65"/>
    </row>
    <row r="435" ht="15.75" customHeight="1">
      <c r="D435" s="65"/>
      <c r="E435" s="65"/>
      <c r="F435" s="65"/>
      <c r="L435" s="65"/>
    </row>
    <row r="436" ht="15.75" customHeight="1">
      <c r="D436" s="65"/>
      <c r="E436" s="65"/>
      <c r="F436" s="65"/>
      <c r="L436" s="65"/>
    </row>
    <row r="437" ht="15.75" customHeight="1">
      <c r="D437" s="65"/>
      <c r="E437" s="65"/>
      <c r="F437" s="65"/>
      <c r="L437" s="65"/>
    </row>
    <row r="438" ht="15.75" customHeight="1">
      <c r="D438" s="65"/>
      <c r="E438" s="65"/>
      <c r="F438" s="65"/>
      <c r="L438" s="65"/>
    </row>
    <row r="439" ht="15.75" customHeight="1">
      <c r="D439" s="65"/>
      <c r="E439" s="65"/>
      <c r="F439" s="65"/>
      <c r="L439" s="65"/>
    </row>
    <row r="440" ht="15.75" customHeight="1">
      <c r="D440" s="65"/>
      <c r="E440" s="65"/>
      <c r="F440" s="65"/>
      <c r="L440" s="65"/>
    </row>
    <row r="441" ht="15.75" customHeight="1">
      <c r="D441" s="65"/>
      <c r="E441" s="65"/>
      <c r="F441" s="65"/>
      <c r="L441" s="65"/>
    </row>
    <row r="442" ht="15.75" customHeight="1">
      <c r="D442" s="65"/>
      <c r="E442" s="65"/>
      <c r="F442" s="65"/>
      <c r="L442" s="65"/>
    </row>
    <row r="443" ht="15.75" customHeight="1">
      <c r="D443" s="65"/>
      <c r="E443" s="65"/>
      <c r="F443" s="65"/>
      <c r="L443" s="65"/>
    </row>
    <row r="444" ht="15.75" customHeight="1">
      <c r="D444" s="65"/>
      <c r="E444" s="65"/>
      <c r="F444" s="65"/>
      <c r="L444" s="65"/>
    </row>
    <row r="445" ht="15.75" customHeight="1">
      <c r="D445" s="65"/>
      <c r="E445" s="65"/>
      <c r="F445" s="65"/>
      <c r="L445" s="65"/>
    </row>
    <row r="446" ht="15.75" customHeight="1">
      <c r="D446" s="65"/>
      <c r="E446" s="65"/>
      <c r="F446" s="65"/>
      <c r="L446" s="65"/>
    </row>
    <row r="447" ht="15.75" customHeight="1">
      <c r="D447" s="65"/>
      <c r="E447" s="65"/>
      <c r="F447" s="65"/>
      <c r="L447" s="65"/>
    </row>
    <row r="448" ht="15.75" customHeight="1">
      <c r="D448" s="65"/>
      <c r="E448" s="65"/>
      <c r="F448" s="65"/>
      <c r="L448" s="65"/>
    </row>
    <row r="449" ht="15.75" customHeight="1">
      <c r="D449" s="65"/>
      <c r="E449" s="65"/>
      <c r="F449" s="65"/>
      <c r="L449" s="65"/>
    </row>
    <row r="450" ht="15.75" customHeight="1">
      <c r="D450" s="65"/>
      <c r="E450" s="65"/>
      <c r="F450" s="65"/>
      <c r="L450" s="65"/>
    </row>
    <row r="451" ht="15.75" customHeight="1">
      <c r="D451" s="65"/>
      <c r="E451" s="65"/>
      <c r="F451" s="65"/>
      <c r="L451" s="65"/>
    </row>
    <row r="452" ht="15.75" customHeight="1">
      <c r="D452" s="65"/>
      <c r="E452" s="65"/>
      <c r="F452" s="65"/>
      <c r="L452" s="65"/>
    </row>
    <row r="453" ht="15.75" customHeight="1">
      <c r="D453" s="65"/>
      <c r="E453" s="65"/>
      <c r="F453" s="65"/>
      <c r="L453" s="65"/>
    </row>
    <row r="454" ht="15.75" customHeight="1">
      <c r="D454" s="65"/>
      <c r="E454" s="65"/>
      <c r="F454" s="65"/>
      <c r="L454" s="65"/>
    </row>
    <row r="455" ht="15.75" customHeight="1">
      <c r="D455" s="65"/>
      <c r="E455" s="65"/>
      <c r="F455" s="65"/>
      <c r="L455" s="65"/>
    </row>
    <row r="456" ht="15.75" customHeight="1">
      <c r="D456" s="65"/>
      <c r="E456" s="65"/>
      <c r="F456" s="65"/>
      <c r="L456" s="65"/>
    </row>
    <row r="457" ht="15.75" customHeight="1">
      <c r="D457" s="65"/>
      <c r="E457" s="65"/>
      <c r="F457" s="65"/>
      <c r="L457" s="65"/>
    </row>
    <row r="458" ht="15.75" customHeight="1">
      <c r="D458" s="65"/>
      <c r="E458" s="65"/>
      <c r="F458" s="65"/>
      <c r="L458" s="65"/>
    </row>
    <row r="459" ht="15.75" customHeight="1">
      <c r="D459" s="65"/>
      <c r="E459" s="65"/>
      <c r="F459" s="65"/>
      <c r="L459" s="65"/>
    </row>
    <row r="460" ht="15.75" customHeight="1">
      <c r="D460" s="65"/>
      <c r="E460" s="65"/>
      <c r="F460" s="65"/>
      <c r="L460" s="65"/>
    </row>
    <row r="461" ht="15.75" customHeight="1">
      <c r="D461" s="65"/>
      <c r="E461" s="65"/>
      <c r="F461" s="65"/>
      <c r="L461" s="65"/>
    </row>
    <row r="462" ht="15.75" customHeight="1">
      <c r="D462" s="65"/>
      <c r="E462" s="65"/>
      <c r="F462" s="65"/>
      <c r="L462" s="65"/>
    </row>
    <row r="463" ht="15.75" customHeight="1">
      <c r="D463" s="65"/>
      <c r="E463" s="65"/>
      <c r="F463" s="65"/>
      <c r="L463" s="65"/>
    </row>
    <row r="464" ht="15.75" customHeight="1">
      <c r="D464" s="65"/>
      <c r="E464" s="65"/>
      <c r="F464" s="65"/>
      <c r="L464" s="65"/>
    </row>
    <row r="465" ht="15.75" customHeight="1">
      <c r="D465" s="65"/>
      <c r="E465" s="65"/>
      <c r="F465" s="65"/>
      <c r="L465" s="65"/>
    </row>
    <row r="466" ht="15.75" customHeight="1">
      <c r="D466" s="65"/>
      <c r="E466" s="65"/>
      <c r="F466" s="65"/>
      <c r="L466" s="65"/>
    </row>
    <row r="467" ht="15.75" customHeight="1">
      <c r="D467" s="65"/>
      <c r="E467" s="65"/>
      <c r="F467" s="65"/>
      <c r="L467" s="65"/>
    </row>
    <row r="468" ht="15.75" customHeight="1">
      <c r="D468" s="65"/>
      <c r="E468" s="65"/>
      <c r="F468" s="65"/>
      <c r="L468" s="65"/>
    </row>
    <row r="469" ht="15.75" customHeight="1">
      <c r="D469" s="65"/>
      <c r="E469" s="65"/>
      <c r="F469" s="65"/>
      <c r="L469" s="65"/>
    </row>
    <row r="470" ht="15.75" customHeight="1">
      <c r="D470" s="65"/>
      <c r="E470" s="65"/>
      <c r="F470" s="65"/>
      <c r="L470" s="65"/>
    </row>
    <row r="471" ht="15.75" customHeight="1">
      <c r="D471" s="65"/>
      <c r="E471" s="65"/>
      <c r="F471" s="65"/>
      <c r="L471" s="65"/>
    </row>
    <row r="472" ht="15.75" customHeight="1">
      <c r="D472" s="65"/>
      <c r="E472" s="65"/>
      <c r="F472" s="65"/>
      <c r="L472" s="65"/>
    </row>
    <row r="473" ht="15.75" customHeight="1">
      <c r="D473" s="65"/>
      <c r="E473" s="65"/>
      <c r="F473" s="65"/>
      <c r="L473" s="65"/>
    </row>
    <row r="474" ht="15.75" customHeight="1">
      <c r="D474" s="65"/>
      <c r="E474" s="65"/>
      <c r="F474" s="65"/>
      <c r="L474" s="65"/>
    </row>
    <row r="475" ht="15.75" customHeight="1">
      <c r="D475" s="65"/>
      <c r="E475" s="65"/>
      <c r="F475" s="65"/>
      <c r="L475" s="65"/>
    </row>
    <row r="476" ht="15.75" customHeight="1">
      <c r="D476" s="65"/>
      <c r="E476" s="65"/>
      <c r="F476" s="65"/>
      <c r="L476" s="65"/>
    </row>
    <row r="477" ht="15.75" customHeight="1">
      <c r="D477" s="65"/>
      <c r="E477" s="65"/>
      <c r="F477" s="65"/>
      <c r="L477" s="65"/>
    </row>
    <row r="478" ht="15.75" customHeight="1">
      <c r="D478" s="65"/>
      <c r="E478" s="65"/>
      <c r="F478" s="65"/>
      <c r="L478" s="65"/>
    </row>
    <row r="479" ht="15.75" customHeight="1">
      <c r="D479" s="65"/>
      <c r="E479" s="65"/>
      <c r="F479" s="65"/>
      <c r="L479" s="65"/>
    </row>
    <row r="480" ht="15.75" customHeight="1">
      <c r="D480" s="65"/>
      <c r="E480" s="65"/>
      <c r="F480" s="65"/>
      <c r="L480" s="65"/>
    </row>
    <row r="481" ht="15.75" customHeight="1">
      <c r="D481" s="65"/>
      <c r="E481" s="65"/>
      <c r="F481" s="65"/>
      <c r="L481" s="65"/>
    </row>
    <row r="482" ht="15.75" customHeight="1">
      <c r="D482" s="65"/>
      <c r="E482" s="65"/>
      <c r="F482" s="65"/>
      <c r="L482" s="65"/>
    </row>
    <row r="483" ht="15.75" customHeight="1">
      <c r="D483" s="65"/>
      <c r="E483" s="65"/>
      <c r="F483" s="65"/>
      <c r="L483" s="65"/>
    </row>
    <row r="484" ht="15.75" customHeight="1">
      <c r="D484" s="65"/>
      <c r="E484" s="65"/>
      <c r="F484" s="65"/>
      <c r="L484" s="65"/>
    </row>
    <row r="485" ht="15.75" customHeight="1">
      <c r="D485" s="65"/>
      <c r="E485" s="65"/>
      <c r="F485" s="65"/>
      <c r="L485" s="65"/>
    </row>
    <row r="486" ht="15.75" customHeight="1">
      <c r="D486" s="65"/>
      <c r="E486" s="65"/>
      <c r="F486" s="65"/>
      <c r="L486" s="65"/>
    </row>
    <row r="487" ht="15.75" customHeight="1">
      <c r="D487" s="65"/>
      <c r="E487" s="65"/>
      <c r="F487" s="65"/>
      <c r="L487" s="65"/>
    </row>
    <row r="488" ht="15.75" customHeight="1">
      <c r="D488" s="65"/>
      <c r="E488" s="65"/>
      <c r="F488" s="65"/>
      <c r="L488" s="65"/>
    </row>
    <row r="489" ht="15.75" customHeight="1">
      <c r="D489" s="65"/>
      <c r="E489" s="65"/>
      <c r="F489" s="65"/>
      <c r="L489" s="65"/>
    </row>
    <row r="490" ht="15.75" customHeight="1">
      <c r="D490" s="65"/>
      <c r="E490" s="65"/>
      <c r="F490" s="65"/>
      <c r="L490" s="65"/>
    </row>
    <row r="491" ht="15.75" customHeight="1">
      <c r="D491" s="65"/>
      <c r="E491" s="65"/>
      <c r="F491" s="65"/>
      <c r="L491" s="65"/>
    </row>
    <row r="492" ht="15.75" customHeight="1">
      <c r="D492" s="65"/>
      <c r="E492" s="65"/>
      <c r="F492" s="65"/>
      <c r="L492" s="65"/>
    </row>
    <row r="493" ht="15.75" customHeight="1">
      <c r="D493" s="65"/>
      <c r="E493" s="65"/>
      <c r="F493" s="65"/>
      <c r="L493" s="65"/>
    </row>
    <row r="494" ht="15.75" customHeight="1">
      <c r="D494" s="65"/>
      <c r="E494" s="65"/>
      <c r="F494" s="65"/>
      <c r="L494" s="65"/>
    </row>
    <row r="495" ht="15.75" customHeight="1">
      <c r="D495" s="65"/>
      <c r="E495" s="65"/>
      <c r="F495" s="65"/>
      <c r="L495" s="65"/>
    </row>
    <row r="496" ht="15.75" customHeight="1">
      <c r="D496" s="65"/>
      <c r="E496" s="65"/>
      <c r="F496" s="65"/>
      <c r="L496" s="65"/>
    </row>
    <row r="497" ht="15.75" customHeight="1">
      <c r="D497" s="65"/>
      <c r="E497" s="65"/>
      <c r="F497" s="65"/>
      <c r="L497" s="65"/>
    </row>
    <row r="498" ht="15.75" customHeight="1">
      <c r="D498" s="65"/>
      <c r="E498" s="65"/>
      <c r="F498" s="65"/>
      <c r="L498" s="65"/>
    </row>
    <row r="499" ht="15.75" customHeight="1">
      <c r="D499" s="65"/>
      <c r="E499" s="65"/>
      <c r="F499" s="65"/>
      <c r="L499" s="65"/>
    </row>
    <row r="500" ht="15.75" customHeight="1">
      <c r="D500" s="65"/>
      <c r="E500" s="65"/>
      <c r="F500" s="65"/>
      <c r="L500" s="65"/>
    </row>
    <row r="501" ht="15.75" customHeight="1">
      <c r="L501" s="65"/>
    </row>
    <row r="502" ht="15.75" customHeight="1">
      <c r="L502" s="65"/>
    </row>
    <row r="503" ht="15.75" customHeight="1">
      <c r="L503" s="65"/>
    </row>
    <row r="504" ht="15.75" customHeight="1">
      <c r="L504" s="65"/>
    </row>
    <row r="505" ht="15.75" customHeight="1">
      <c r="L505" s="65"/>
    </row>
    <row r="506" ht="15.75" customHeight="1">
      <c r="L506" s="65"/>
    </row>
    <row r="507" ht="15.75" customHeight="1">
      <c r="L507" s="65"/>
    </row>
    <row r="508" ht="15.75" customHeight="1">
      <c r="L508" s="65"/>
    </row>
    <row r="509" ht="15.75" customHeight="1">
      <c r="L509" s="65"/>
    </row>
    <row r="510" ht="15.75" customHeight="1">
      <c r="L510" s="65"/>
    </row>
    <row r="511" ht="15.75" customHeight="1">
      <c r="L511" s="65"/>
    </row>
    <row r="512" ht="15.75" customHeight="1">
      <c r="L512" s="65"/>
    </row>
    <row r="513" ht="15.75" customHeight="1">
      <c r="L513" s="65"/>
    </row>
    <row r="514" ht="15.75" customHeight="1">
      <c r="L514" s="65"/>
    </row>
    <row r="515" ht="15.75" customHeight="1">
      <c r="L515" s="65"/>
    </row>
    <row r="516" ht="15.75" customHeight="1">
      <c r="L516" s="65"/>
    </row>
    <row r="517" ht="15.75" customHeight="1">
      <c r="L517" s="65"/>
    </row>
    <row r="518" ht="15.75" customHeight="1">
      <c r="L518" s="65"/>
    </row>
    <row r="519" ht="15.75" customHeight="1">
      <c r="L519" s="65"/>
    </row>
    <row r="520" ht="15.75" customHeight="1">
      <c r="L520" s="65"/>
    </row>
    <row r="521" ht="15.75" customHeight="1">
      <c r="L521" s="65"/>
    </row>
    <row r="522" ht="15.75" customHeight="1">
      <c r="L522" s="65"/>
    </row>
    <row r="523" ht="15.75" customHeight="1">
      <c r="L523" s="65"/>
    </row>
    <row r="524" ht="15.75" customHeight="1">
      <c r="L524" s="65"/>
    </row>
    <row r="525" ht="15.75" customHeight="1">
      <c r="L525" s="65"/>
    </row>
    <row r="526" ht="15.75" customHeight="1">
      <c r="L526" s="65"/>
    </row>
    <row r="527" ht="15.75" customHeight="1">
      <c r="L527" s="65"/>
    </row>
    <row r="528" ht="15.75" customHeight="1">
      <c r="L528" s="65"/>
    </row>
    <row r="529" ht="15.75" customHeight="1">
      <c r="L529" s="65"/>
    </row>
    <row r="530" ht="15.75" customHeight="1">
      <c r="L530" s="65"/>
    </row>
    <row r="531" ht="15.75" customHeight="1">
      <c r="L531" s="65"/>
    </row>
    <row r="532" ht="15.75" customHeight="1">
      <c r="L532" s="65"/>
    </row>
    <row r="533" ht="15.75" customHeight="1">
      <c r="L533" s="65"/>
    </row>
    <row r="534" ht="15.75" customHeight="1">
      <c r="L534" s="65"/>
    </row>
    <row r="535" ht="15.75" customHeight="1">
      <c r="L535" s="65"/>
    </row>
    <row r="536" ht="15.75" customHeight="1">
      <c r="L536" s="65"/>
    </row>
    <row r="537" ht="15.75" customHeight="1">
      <c r="L537" s="65"/>
    </row>
    <row r="538" ht="15.75" customHeight="1">
      <c r="L538" s="65"/>
    </row>
    <row r="539" ht="15.75" customHeight="1">
      <c r="L539" s="65"/>
    </row>
    <row r="540" ht="15.75" customHeight="1">
      <c r="L540" s="65"/>
    </row>
    <row r="541" ht="15.75" customHeight="1">
      <c r="L541" s="65"/>
    </row>
    <row r="542" ht="15.75" customHeight="1">
      <c r="L542" s="65"/>
    </row>
    <row r="543" ht="15.75" customHeight="1">
      <c r="L543" s="65"/>
    </row>
    <row r="544" ht="15.75" customHeight="1">
      <c r="L544" s="65"/>
    </row>
    <row r="545" ht="15.75" customHeight="1">
      <c r="L545" s="65"/>
    </row>
    <row r="546" ht="15.75" customHeight="1">
      <c r="L546" s="65"/>
    </row>
    <row r="547" ht="15.75" customHeight="1">
      <c r="L547" s="65"/>
    </row>
    <row r="548" ht="15.75" customHeight="1">
      <c r="L548" s="65"/>
    </row>
    <row r="549" ht="15.75" customHeight="1">
      <c r="L549" s="65"/>
    </row>
    <row r="550" ht="15.75" customHeight="1">
      <c r="L550" s="65"/>
    </row>
    <row r="551" ht="15.75" customHeight="1">
      <c r="L551" s="65"/>
    </row>
    <row r="552" ht="15.75" customHeight="1">
      <c r="L552" s="65"/>
    </row>
    <row r="553" ht="15.75" customHeight="1">
      <c r="L553" s="65"/>
    </row>
    <row r="554" ht="15.75" customHeight="1">
      <c r="L554" s="65"/>
    </row>
    <row r="555" ht="15.75" customHeight="1">
      <c r="L555" s="65"/>
    </row>
    <row r="556" ht="15.75" customHeight="1">
      <c r="L556" s="65"/>
    </row>
    <row r="557" ht="15.75" customHeight="1">
      <c r="L557" s="65"/>
    </row>
    <row r="558" ht="15.75" customHeight="1">
      <c r="L558" s="65"/>
    </row>
    <row r="559" ht="15.75" customHeight="1">
      <c r="L559" s="65"/>
    </row>
    <row r="560" ht="15.75" customHeight="1">
      <c r="L560" s="65"/>
    </row>
    <row r="561" ht="15.75" customHeight="1">
      <c r="L561" s="65"/>
    </row>
    <row r="562" ht="15.75" customHeight="1">
      <c r="L562" s="65"/>
    </row>
    <row r="563" ht="15.75" customHeight="1">
      <c r="L563" s="65"/>
    </row>
    <row r="564" ht="15.75" customHeight="1">
      <c r="L564" s="65"/>
    </row>
    <row r="565" ht="15.75" customHeight="1">
      <c r="L565" s="65"/>
    </row>
    <row r="566" ht="15.75" customHeight="1">
      <c r="L566" s="65"/>
    </row>
    <row r="567" ht="15.75" customHeight="1">
      <c r="L567" s="65"/>
    </row>
    <row r="568" ht="15.75" customHeight="1">
      <c r="L568" s="65"/>
    </row>
    <row r="569" ht="15.75" customHeight="1">
      <c r="L569" s="65"/>
    </row>
    <row r="570" ht="15.75" customHeight="1">
      <c r="L570" s="65"/>
    </row>
    <row r="571" ht="15.75" customHeight="1">
      <c r="L571" s="65"/>
    </row>
    <row r="572" ht="15.75" customHeight="1">
      <c r="L572" s="65"/>
    </row>
    <row r="573" ht="15.75" customHeight="1">
      <c r="L573" s="65"/>
    </row>
    <row r="574" ht="15.75" customHeight="1">
      <c r="L574" s="65"/>
    </row>
    <row r="575" ht="15.75" customHeight="1">
      <c r="L575" s="65"/>
    </row>
    <row r="576" ht="15.75" customHeight="1">
      <c r="L576" s="65"/>
    </row>
    <row r="577" ht="15.75" customHeight="1">
      <c r="L577" s="65"/>
    </row>
    <row r="578" ht="15.75" customHeight="1">
      <c r="L578" s="65"/>
    </row>
    <row r="579" ht="15.75" customHeight="1">
      <c r="L579" s="65"/>
    </row>
    <row r="580" ht="15.75" customHeight="1">
      <c r="L580" s="65"/>
    </row>
    <row r="581" ht="15.75" customHeight="1">
      <c r="L581" s="65"/>
    </row>
    <row r="582" ht="15.75" customHeight="1">
      <c r="L582" s="65"/>
    </row>
    <row r="583" ht="15.75" customHeight="1">
      <c r="L583" s="65"/>
    </row>
    <row r="584" ht="15.75" customHeight="1">
      <c r="L584" s="65"/>
    </row>
    <row r="585" ht="15.75" customHeight="1">
      <c r="L585" s="65"/>
    </row>
    <row r="586" ht="15.75" customHeight="1">
      <c r="L586" s="65"/>
    </row>
    <row r="587" ht="15.75" customHeight="1">
      <c r="L587" s="65"/>
    </row>
    <row r="588" ht="15.75" customHeight="1">
      <c r="L588" s="65"/>
    </row>
    <row r="589" ht="15.75" customHeight="1">
      <c r="L589" s="65"/>
    </row>
    <row r="590" ht="15.75" customHeight="1">
      <c r="L590" s="65"/>
    </row>
    <row r="591" ht="15.75" customHeight="1">
      <c r="L591" s="65"/>
    </row>
    <row r="592" ht="15.75" customHeight="1">
      <c r="L592" s="65"/>
    </row>
    <row r="593" ht="15.75" customHeight="1">
      <c r="L593" s="65"/>
    </row>
    <row r="594" ht="15.75" customHeight="1">
      <c r="L594" s="65"/>
    </row>
    <row r="595" ht="15.75" customHeight="1">
      <c r="L595" s="65"/>
    </row>
    <row r="596" ht="15.75" customHeight="1">
      <c r="L596" s="65"/>
    </row>
    <row r="597" ht="15.75" customHeight="1">
      <c r="L597" s="65"/>
    </row>
    <row r="598" ht="15.75" customHeight="1">
      <c r="L598" s="65"/>
    </row>
    <row r="599" ht="15.75" customHeight="1">
      <c r="L599" s="65"/>
    </row>
    <row r="600" ht="15.75" customHeight="1">
      <c r="L600" s="65"/>
    </row>
    <row r="601" ht="15.75" customHeight="1">
      <c r="L601" s="65"/>
    </row>
    <row r="602" ht="15.75" customHeight="1">
      <c r="L602" s="65"/>
    </row>
    <row r="603" ht="15.75" customHeight="1">
      <c r="L603" s="65"/>
    </row>
    <row r="604" ht="15.75" customHeight="1">
      <c r="L604" s="65"/>
    </row>
    <row r="605" ht="15.75" customHeight="1">
      <c r="L605" s="65"/>
    </row>
    <row r="606" ht="15.75" customHeight="1">
      <c r="L606" s="65"/>
    </row>
    <row r="607" ht="15.75" customHeight="1">
      <c r="L607" s="65"/>
    </row>
    <row r="608" ht="15.75" customHeight="1">
      <c r="L608" s="65"/>
    </row>
    <row r="609" ht="15.75" customHeight="1">
      <c r="L609" s="65"/>
    </row>
    <row r="610" ht="15.75" customHeight="1">
      <c r="L610" s="65"/>
    </row>
    <row r="611" ht="15.75" customHeight="1">
      <c r="L611" s="65"/>
    </row>
    <row r="612" ht="15.75" customHeight="1">
      <c r="L612" s="65"/>
    </row>
    <row r="613" ht="15.75" customHeight="1">
      <c r="L613" s="65"/>
    </row>
    <row r="614" ht="15.75" customHeight="1">
      <c r="L614" s="65"/>
    </row>
    <row r="615" ht="15.75" customHeight="1">
      <c r="L615" s="65"/>
    </row>
    <row r="616" ht="15.75" customHeight="1">
      <c r="L616" s="65"/>
    </row>
    <row r="617" ht="15.75" customHeight="1">
      <c r="L617" s="65"/>
    </row>
    <row r="618" ht="15.75" customHeight="1">
      <c r="L618" s="65"/>
    </row>
    <row r="619" ht="15.75" customHeight="1">
      <c r="L619" s="65"/>
    </row>
    <row r="620" ht="15.75" customHeight="1">
      <c r="L620" s="65"/>
    </row>
    <row r="621" ht="15.75" customHeight="1">
      <c r="L621" s="65"/>
    </row>
    <row r="622" ht="15.75" customHeight="1">
      <c r="L622" s="65"/>
    </row>
    <row r="623" ht="15.75" customHeight="1">
      <c r="L623" s="65"/>
    </row>
    <row r="624" ht="15.75" customHeight="1">
      <c r="L624" s="65"/>
    </row>
    <row r="625" ht="15.75" customHeight="1">
      <c r="L625" s="65"/>
    </row>
    <row r="626" ht="15.75" customHeight="1">
      <c r="L626" s="65"/>
    </row>
    <row r="627" ht="15.75" customHeight="1">
      <c r="L627" s="65"/>
    </row>
    <row r="628" ht="15.75" customHeight="1">
      <c r="L628" s="65"/>
    </row>
    <row r="629" ht="15.75" customHeight="1">
      <c r="L629" s="65"/>
    </row>
    <row r="630" ht="15.75" customHeight="1">
      <c r="L630" s="65"/>
    </row>
    <row r="631" ht="15.75" customHeight="1">
      <c r="L631" s="65"/>
    </row>
    <row r="632" ht="15.75" customHeight="1">
      <c r="L632" s="65"/>
    </row>
    <row r="633" ht="15.75" customHeight="1">
      <c r="L633" s="65"/>
    </row>
    <row r="634" ht="15.75" customHeight="1">
      <c r="L634" s="65"/>
    </row>
    <row r="635" ht="15.75" customHeight="1">
      <c r="L635" s="65"/>
    </row>
    <row r="636" ht="15.75" customHeight="1">
      <c r="L636" s="65"/>
    </row>
    <row r="637" ht="15.75" customHeight="1">
      <c r="L637" s="65"/>
    </row>
    <row r="638" ht="15.75" customHeight="1">
      <c r="L638" s="65"/>
    </row>
    <row r="639" ht="15.75" customHeight="1">
      <c r="L639" s="65"/>
    </row>
    <row r="640" ht="15.75" customHeight="1">
      <c r="L640" s="65"/>
    </row>
    <row r="641" ht="15.75" customHeight="1">
      <c r="L641" s="65"/>
    </row>
    <row r="642" ht="15.75" customHeight="1">
      <c r="L642" s="65"/>
    </row>
    <row r="643" ht="15.75" customHeight="1">
      <c r="L643" s="65"/>
    </row>
    <row r="644" ht="15.75" customHeight="1">
      <c r="L644" s="65"/>
    </row>
    <row r="645" ht="15.75" customHeight="1">
      <c r="L645" s="65"/>
    </row>
    <row r="646" ht="15.75" customHeight="1">
      <c r="L646" s="65"/>
    </row>
    <row r="647" ht="15.75" customHeight="1">
      <c r="L647" s="65"/>
    </row>
    <row r="648" ht="15.75" customHeight="1">
      <c r="L648" s="65"/>
    </row>
    <row r="649" ht="15.75" customHeight="1">
      <c r="L649" s="65"/>
    </row>
    <row r="650" ht="15.75" customHeight="1">
      <c r="L650" s="65"/>
    </row>
    <row r="651" ht="15.75" customHeight="1">
      <c r="L651" s="65"/>
    </row>
    <row r="652" ht="15.75" customHeight="1">
      <c r="L652" s="65"/>
    </row>
    <row r="653" ht="15.75" customHeight="1">
      <c r="L653" s="65"/>
    </row>
    <row r="654" ht="15.75" customHeight="1">
      <c r="L654" s="65"/>
    </row>
    <row r="655" ht="15.75" customHeight="1">
      <c r="L655" s="65"/>
    </row>
    <row r="656" ht="15.75" customHeight="1">
      <c r="L656" s="65"/>
    </row>
    <row r="657" ht="15.75" customHeight="1">
      <c r="L657" s="65"/>
    </row>
    <row r="658" ht="15.75" customHeight="1">
      <c r="L658" s="65"/>
    </row>
    <row r="659" ht="15.75" customHeight="1">
      <c r="L659" s="65"/>
    </row>
    <row r="660" ht="15.75" customHeight="1">
      <c r="L660" s="65"/>
    </row>
    <row r="661" ht="15.75" customHeight="1">
      <c r="L661" s="65"/>
    </row>
    <row r="662" ht="15.75" customHeight="1">
      <c r="L662" s="65"/>
    </row>
    <row r="663" ht="15.75" customHeight="1">
      <c r="L663" s="65"/>
    </row>
    <row r="664" ht="15.75" customHeight="1">
      <c r="L664" s="65"/>
    </row>
    <row r="665" ht="15.75" customHeight="1">
      <c r="L665" s="65"/>
    </row>
    <row r="666" ht="15.75" customHeight="1">
      <c r="L666" s="65"/>
    </row>
    <row r="667" ht="15.75" customHeight="1">
      <c r="L667" s="65"/>
    </row>
    <row r="668" ht="15.75" customHeight="1">
      <c r="L668" s="65"/>
    </row>
    <row r="669" ht="15.75" customHeight="1">
      <c r="L669" s="65"/>
    </row>
    <row r="670" ht="15.75" customHeight="1">
      <c r="L670" s="65"/>
    </row>
    <row r="671" ht="15.75" customHeight="1">
      <c r="L671" s="65"/>
    </row>
    <row r="672" ht="15.75" customHeight="1">
      <c r="L672" s="65"/>
    </row>
    <row r="673" ht="15.75" customHeight="1">
      <c r="L673" s="65"/>
    </row>
    <row r="674" ht="15.75" customHeight="1">
      <c r="L674" s="65"/>
    </row>
    <row r="675" ht="15.75" customHeight="1">
      <c r="L675" s="65"/>
    </row>
    <row r="676" ht="15.75" customHeight="1">
      <c r="L676" s="65"/>
    </row>
    <row r="677" ht="15.75" customHeight="1">
      <c r="L677" s="65"/>
    </row>
    <row r="678" ht="15.75" customHeight="1">
      <c r="L678" s="65"/>
    </row>
    <row r="679" ht="15.75" customHeight="1">
      <c r="L679" s="65"/>
    </row>
    <row r="680" ht="15.75" customHeight="1">
      <c r="L680" s="65"/>
    </row>
    <row r="681" ht="15.75" customHeight="1">
      <c r="L681" s="65"/>
    </row>
    <row r="682" ht="15.75" customHeight="1">
      <c r="L682" s="65"/>
    </row>
    <row r="683" ht="15.75" customHeight="1">
      <c r="L683" s="65"/>
    </row>
    <row r="684" ht="15.75" customHeight="1">
      <c r="L684" s="65"/>
    </row>
    <row r="685" ht="15.75" customHeight="1">
      <c r="L685" s="65"/>
    </row>
    <row r="686" ht="15.75" customHeight="1">
      <c r="L686" s="65"/>
    </row>
    <row r="687" ht="15.75" customHeight="1">
      <c r="L687" s="65"/>
    </row>
    <row r="688" ht="15.75" customHeight="1">
      <c r="L688" s="65"/>
    </row>
    <row r="689" ht="15.75" customHeight="1">
      <c r="L689" s="65"/>
    </row>
    <row r="690" ht="15.75" customHeight="1">
      <c r="L690" s="65"/>
    </row>
    <row r="691" ht="15.75" customHeight="1">
      <c r="L691" s="65"/>
    </row>
    <row r="692" ht="15.75" customHeight="1">
      <c r="L692" s="65"/>
    </row>
    <row r="693" ht="15.75" customHeight="1">
      <c r="L693" s="65"/>
    </row>
    <row r="694" ht="15.75" customHeight="1">
      <c r="L694" s="65"/>
    </row>
    <row r="695" ht="15.75" customHeight="1">
      <c r="L695" s="65"/>
    </row>
    <row r="696" ht="15.75" customHeight="1">
      <c r="L696" s="65"/>
    </row>
    <row r="697" ht="15.75" customHeight="1">
      <c r="L697" s="65"/>
    </row>
    <row r="698" ht="15.75" customHeight="1">
      <c r="L698" s="65"/>
    </row>
    <row r="699" ht="15.75" customHeight="1">
      <c r="L699" s="65"/>
    </row>
    <row r="700" ht="15.75" customHeight="1">
      <c r="L700" s="65"/>
    </row>
    <row r="701" ht="15.75" customHeight="1">
      <c r="L701" s="65"/>
    </row>
    <row r="702" ht="15.75" customHeight="1">
      <c r="L702" s="65"/>
    </row>
    <row r="703" ht="15.75" customHeight="1">
      <c r="L703" s="65"/>
    </row>
    <row r="704" ht="15.75" customHeight="1">
      <c r="L704" s="65"/>
    </row>
    <row r="705" ht="15.75" customHeight="1">
      <c r="L705" s="65"/>
    </row>
    <row r="706" ht="15.75" customHeight="1">
      <c r="L706" s="65"/>
    </row>
    <row r="707" ht="15.75" customHeight="1">
      <c r="L707" s="65"/>
    </row>
    <row r="708" ht="15.75" customHeight="1">
      <c r="L708" s="65"/>
    </row>
    <row r="709" ht="15.75" customHeight="1">
      <c r="L709" s="65"/>
    </row>
    <row r="710" ht="15.75" customHeight="1">
      <c r="L710" s="65"/>
    </row>
    <row r="711" ht="15.75" customHeight="1">
      <c r="L711" s="65"/>
    </row>
    <row r="712" ht="15.75" customHeight="1">
      <c r="L712" s="65"/>
    </row>
    <row r="713" ht="15.75" customHeight="1">
      <c r="L713" s="65"/>
    </row>
    <row r="714" ht="15.75" customHeight="1">
      <c r="L714" s="65"/>
    </row>
    <row r="715" ht="15.75" customHeight="1">
      <c r="L715" s="65"/>
    </row>
    <row r="716" ht="15.75" customHeight="1">
      <c r="L716" s="65"/>
    </row>
    <row r="717" ht="15.75" customHeight="1">
      <c r="L717" s="65"/>
    </row>
    <row r="718" ht="15.75" customHeight="1">
      <c r="L718" s="65"/>
    </row>
    <row r="719" ht="15.75" customHeight="1">
      <c r="L719" s="65"/>
    </row>
    <row r="720" ht="15.75" customHeight="1">
      <c r="L720" s="65"/>
    </row>
    <row r="721" ht="15.75" customHeight="1">
      <c r="L721" s="65"/>
    </row>
    <row r="722" ht="15.75" customHeight="1">
      <c r="L722" s="65"/>
    </row>
    <row r="723" ht="15.75" customHeight="1">
      <c r="L723" s="65"/>
    </row>
    <row r="724" ht="15.75" customHeight="1">
      <c r="L724" s="65"/>
    </row>
    <row r="725" ht="15.75" customHeight="1">
      <c r="L725" s="65"/>
    </row>
    <row r="726" ht="15.75" customHeight="1">
      <c r="L726" s="65"/>
    </row>
    <row r="727" ht="15.75" customHeight="1">
      <c r="L727" s="65"/>
    </row>
    <row r="728" ht="15.75" customHeight="1">
      <c r="L728" s="65"/>
    </row>
    <row r="729" ht="15.75" customHeight="1">
      <c r="L729" s="65"/>
    </row>
    <row r="730" ht="15.75" customHeight="1">
      <c r="L730" s="65"/>
    </row>
    <row r="731" ht="15.75" customHeight="1">
      <c r="L731" s="65"/>
    </row>
    <row r="732" ht="15.75" customHeight="1">
      <c r="L732" s="65"/>
    </row>
    <row r="733" ht="15.75" customHeight="1">
      <c r="L733" s="65"/>
    </row>
    <row r="734" ht="15.75" customHeight="1">
      <c r="L734" s="65"/>
    </row>
    <row r="735" ht="15.75" customHeight="1">
      <c r="L735" s="65"/>
    </row>
    <row r="736" ht="15.75" customHeight="1">
      <c r="L736" s="65"/>
    </row>
    <row r="737" ht="15.75" customHeight="1">
      <c r="L737" s="65"/>
    </row>
    <row r="738" ht="15.75" customHeight="1">
      <c r="L738" s="65"/>
    </row>
    <row r="739" ht="15.75" customHeight="1">
      <c r="L739" s="65"/>
    </row>
    <row r="740" ht="15.75" customHeight="1">
      <c r="L740" s="65"/>
    </row>
    <row r="741" ht="15.75" customHeight="1">
      <c r="L741" s="65"/>
    </row>
    <row r="742" ht="15.75" customHeight="1">
      <c r="L742" s="65"/>
    </row>
    <row r="743" ht="15.75" customHeight="1">
      <c r="L743" s="65"/>
    </row>
    <row r="744" ht="15.75" customHeight="1">
      <c r="L744" s="65"/>
    </row>
    <row r="745" ht="15.75" customHeight="1">
      <c r="L745" s="65"/>
    </row>
    <row r="746" ht="15.75" customHeight="1">
      <c r="L746" s="65"/>
    </row>
    <row r="747" ht="15.75" customHeight="1">
      <c r="L747" s="65"/>
    </row>
    <row r="748" ht="15.75" customHeight="1">
      <c r="L748" s="65"/>
    </row>
    <row r="749" ht="15.75" customHeight="1">
      <c r="L749" s="65"/>
    </row>
    <row r="750" ht="15.75" customHeight="1">
      <c r="L750" s="65"/>
    </row>
    <row r="751" ht="15.75" customHeight="1">
      <c r="L751" s="65"/>
    </row>
    <row r="752" ht="15.75" customHeight="1">
      <c r="L752" s="65"/>
    </row>
    <row r="753" ht="15.75" customHeight="1">
      <c r="L753" s="65"/>
    </row>
    <row r="754" ht="15.75" customHeight="1">
      <c r="L754" s="65"/>
    </row>
    <row r="755" ht="15.75" customHeight="1">
      <c r="L755" s="65"/>
    </row>
    <row r="756" ht="15.75" customHeight="1">
      <c r="L756" s="65"/>
    </row>
    <row r="757" ht="15.75" customHeight="1">
      <c r="L757" s="65"/>
    </row>
    <row r="758" ht="15.75" customHeight="1">
      <c r="L758" s="65"/>
    </row>
    <row r="759" ht="15.75" customHeight="1">
      <c r="L759" s="65"/>
    </row>
    <row r="760" ht="15.75" customHeight="1">
      <c r="L760" s="65"/>
    </row>
    <row r="761" ht="15.75" customHeight="1">
      <c r="L761" s="65"/>
    </row>
    <row r="762" ht="15.75" customHeight="1">
      <c r="L762" s="65"/>
    </row>
    <row r="763" ht="15.75" customHeight="1">
      <c r="L763" s="65"/>
    </row>
    <row r="764" ht="15.75" customHeight="1">
      <c r="L764" s="65"/>
    </row>
    <row r="765" ht="15.75" customHeight="1">
      <c r="L765" s="65"/>
    </row>
    <row r="766" ht="15.75" customHeight="1">
      <c r="L766" s="65"/>
    </row>
    <row r="767" ht="15.75" customHeight="1">
      <c r="L767" s="65"/>
    </row>
    <row r="768" ht="15.75" customHeight="1">
      <c r="L768" s="65"/>
    </row>
    <row r="769" ht="15.75" customHeight="1">
      <c r="L769" s="65"/>
    </row>
    <row r="770" ht="15.75" customHeight="1">
      <c r="L770" s="65"/>
    </row>
    <row r="771" ht="15.75" customHeight="1">
      <c r="L771" s="65"/>
    </row>
    <row r="772" ht="15.75" customHeight="1">
      <c r="L772" s="65"/>
    </row>
    <row r="773" ht="15.75" customHeight="1">
      <c r="L773" s="65"/>
    </row>
    <row r="774" ht="15.75" customHeight="1">
      <c r="L774" s="65"/>
    </row>
    <row r="775" ht="15.75" customHeight="1">
      <c r="L775" s="65"/>
    </row>
    <row r="776" ht="15.75" customHeight="1">
      <c r="L776" s="65"/>
    </row>
    <row r="777" ht="15.75" customHeight="1">
      <c r="L777" s="65"/>
    </row>
    <row r="778" ht="15.75" customHeight="1">
      <c r="L778" s="65"/>
    </row>
    <row r="779" ht="15.75" customHeight="1">
      <c r="L779" s="65"/>
    </row>
    <row r="780" ht="15.75" customHeight="1">
      <c r="L780" s="65"/>
    </row>
    <row r="781" ht="15.75" customHeight="1">
      <c r="L781" s="65"/>
    </row>
    <row r="782" ht="15.75" customHeight="1">
      <c r="L782" s="65"/>
    </row>
    <row r="783" ht="15.75" customHeight="1">
      <c r="L783" s="65"/>
    </row>
    <row r="784" ht="15.75" customHeight="1">
      <c r="L784" s="65"/>
    </row>
    <row r="785" ht="15.75" customHeight="1">
      <c r="L785" s="65"/>
    </row>
    <row r="786" ht="15.75" customHeight="1">
      <c r="L786" s="65"/>
    </row>
    <row r="787" ht="15.75" customHeight="1">
      <c r="L787" s="65"/>
    </row>
    <row r="788" ht="15.75" customHeight="1">
      <c r="L788" s="65"/>
    </row>
    <row r="789" ht="15.75" customHeight="1">
      <c r="L789" s="65"/>
    </row>
    <row r="790" ht="15.75" customHeight="1">
      <c r="L790" s="65"/>
    </row>
    <row r="791" ht="15.75" customHeight="1">
      <c r="L791" s="65"/>
    </row>
    <row r="792" ht="15.75" customHeight="1">
      <c r="L792" s="65"/>
    </row>
    <row r="793" ht="15.75" customHeight="1">
      <c r="L793" s="65"/>
    </row>
    <row r="794" ht="15.75" customHeight="1">
      <c r="L794" s="65"/>
    </row>
    <row r="795" ht="15.75" customHeight="1">
      <c r="L795" s="65"/>
    </row>
    <row r="796" ht="15.75" customHeight="1">
      <c r="L796" s="65"/>
    </row>
    <row r="797" ht="15.75" customHeight="1">
      <c r="L797" s="65"/>
    </row>
    <row r="798" ht="15.75" customHeight="1">
      <c r="L798" s="65"/>
    </row>
    <row r="799" ht="15.75" customHeight="1">
      <c r="L799" s="65"/>
    </row>
    <row r="800" ht="15.75" customHeight="1">
      <c r="L800" s="65"/>
    </row>
    <row r="801" ht="15.75" customHeight="1">
      <c r="L801" s="65"/>
    </row>
    <row r="802" ht="15.75" customHeight="1">
      <c r="L802" s="65"/>
    </row>
    <row r="803" ht="15.75" customHeight="1">
      <c r="L803" s="65"/>
    </row>
    <row r="804" ht="15.75" customHeight="1">
      <c r="L804" s="65"/>
    </row>
    <row r="805" ht="15.75" customHeight="1">
      <c r="L805" s="65"/>
    </row>
    <row r="806" ht="15.75" customHeight="1">
      <c r="L806" s="65"/>
    </row>
    <row r="807" ht="15.75" customHeight="1">
      <c r="L807" s="65"/>
    </row>
    <row r="808" ht="15.75" customHeight="1">
      <c r="L808" s="65"/>
    </row>
    <row r="809" ht="15.75" customHeight="1">
      <c r="L809" s="65"/>
    </row>
    <row r="810" ht="15.75" customHeight="1">
      <c r="L810" s="65"/>
    </row>
    <row r="811" ht="15.75" customHeight="1">
      <c r="L811" s="65"/>
    </row>
    <row r="812" ht="15.75" customHeight="1">
      <c r="L812" s="65"/>
    </row>
    <row r="813" ht="15.75" customHeight="1">
      <c r="L813" s="65"/>
    </row>
    <row r="814" ht="15.75" customHeight="1">
      <c r="L814" s="65"/>
    </row>
    <row r="815" ht="15.75" customHeight="1">
      <c r="L815" s="65"/>
    </row>
    <row r="816" ht="15.75" customHeight="1">
      <c r="L816" s="65"/>
    </row>
    <row r="817" ht="15.75" customHeight="1">
      <c r="L817" s="65"/>
    </row>
    <row r="818" ht="15.75" customHeight="1">
      <c r="L818" s="65"/>
    </row>
    <row r="819" ht="15.75" customHeight="1">
      <c r="L819" s="65"/>
    </row>
    <row r="820" ht="15.75" customHeight="1">
      <c r="L820" s="65"/>
    </row>
    <row r="821" ht="15.75" customHeight="1">
      <c r="L821" s="65"/>
    </row>
    <row r="822" ht="15.75" customHeight="1">
      <c r="L822" s="65"/>
    </row>
    <row r="823" ht="15.75" customHeight="1">
      <c r="L823" s="65"/>
    </row>
    <row r="824" ht="15.75" customHeight="1">
      <c r="L824" s="65"/>
    </row>
    <row r="825" ht="15.75" customHeight="1">
      <c r="L825" s="65"/>
    </row>
    <row r="826" ht="15.75" customHeight="1">
      <c r="L826" s="65"/>
    </row>
    <row r="827" ht="15.75" customHeight="1">
      <c r="L827" s="65"/>
    </row>
    <row r="828" ht="15.75" customHeight="1">
      <c r="L828" s="65"/>
    </row>
    <row r="829" ht="15.75" customHeight="1">
      <c r="L829" s="65"/>
    </row>
    <row r="830" ht="15.75" customHeight="1">
      <c r="L830" s="65"/>
    </row>
    <row r="831" ht="15.75" customHeight="1">
      <c r="L831" s="65"/>
    </row>
    <row r="832" ht="15.75" customHeight="1">
      <c r="L832" s="65"/>
    </row>
    <row r="833" ht="15.75" customHeight="1">
      <c r="L833" s="65"/>
    </row>
    <row r="834" ht="15.75" customHeight="1">
      <c r="L834" s="65"/>
    </row>
    <row r="835" ht="15.75" customHeight="1">
      <c r="L835" s="65"/>
    </row>
    <row r="836" ht="15.75" customHeight="1">
      <c r="L836" s="65"/>
    </row>
    <row r="837" ht="15.75" customHeight="1">
      <c r="L837" s="65"/>
    </row>
    <row r="838" ht="15.75" customHeight="1">
      <c r="L838" s="65"/>
    </row>
    <row r="839" ht="15.75" customHeight="1">
      <c r="L839" s="65"/>
    </row>
    <row r="840" ht="15.75" customHeight="1">
      <c r="L840" s="65"/>
    </row>
    <row r="841" ht="15.75" customHeight="1">
      <c r="L841" s="65"/>
    </row>
    <row r="842" ht="15.75" customHeight="1">
      <c r="L842" s="65"/>
    </row>
    <row r="843" ht="15.75" customHeight="1">
      <c r="L843" s="65"/>
    </row>
    <row r="844" ht="15.75" customHeight="1">
      <c r="L844" s="65"/>
    </row>
    <row r="845" ht="15.75" customHeight="1">
      <c r="L845" s="65"/>
    </row>
    <row r="846" ht="15.75" customHeight="1">
      <c r="L846" s="65"/>
    </row>
    <row r="847" ht="15.75" customHeight="1">
      <c r="L847" s="65"/>
    </row>
    <row r="848" ht="15.75" customHeight="1">
      <c r="L848" s="65"/>
    </row>
    <row r="849" ht="15.75" customHeight="1">
      <c r="L849" s="65"/>
    </row>
    <row r="850" ht="15.75" customHeight="1">
      <c r="L850" s="65"/>
    </row>
    <row r="851" ht="15.75" customHeight="1">
      <c r="L851" s="65"/>
    </row>
    <row r="852" ht="15.75" customHeight="1">
      <c r="L852" s="65"/>
    </row>
    <row r="853" ht="15.75" customHeight="1">
      <c r="L853" s="65"/>
    </row>
    <row r="854" ht="15.75" customHeight="1">
      <c r="L854" s="65"/>
    </row>
    <row r="855" ht="15.75" customHeight="1">
      <c r="L855" s="65"/>
    </row>
    <row r="856" ht="15.75" customHeight="1">
      <c r="L856" s="65"/>
    </row>
    <row r="857" ht="15.75" customHeight="1">
      <c r="L857" s="65"/>
    </row>
    <row r="858" ht="15.75" customHeight="1">
      <c r="L858" s="65"/>
    </row>
    <row r="859" ht="15.75" customHeight="1">
      <c r="L859" s="65"/>
    </row>
    <row r="860" ht="15.75" customHeight="1">
      <c r="L860" s="65"/>
    </row>
    <row r="861" ht="15.75" customHeight="1">
      <c r="L861" s="65"/>
    </row>
    <row r="862" ht="15.75" customHeight="1">
      <c r="L862" s="65"/>
    </row>
    <row r="863" ht="15.75" customHeight="1">
      <c r="L863" s="65"/>
    </row>
    <row r="864" ht="15.75" customHeight="1">
      <c r="L864" s="65"/>
    </row>
    <row r="865" ht="15.75" customHeight="1">
      <c r="L865" s="65"/>
    </row>
    <row r="866" ht="15.75" customHeight="1">
      <c r="L866" s="65"/>
    </row>
    <row r="867" ht="15.75" customHeight="1">
      <c r="L867" s="65"/>
    </row>
    <row r="868" ht="15.75" customHeight="1">
      <c r="L868" s="65"/>
    </row>
    <row r="869" ht="15.75" customHeight="1">
      <c r="L869" s="65"/>
    </row>
    <row r="870" ht="15.75" customHeight="1">
      <c r="L870" s="65"/>
    </row>
    <row r="871" ht="15.75" customHeight="1">
      <c r="L871" s="65"/>
    </row>
    <row r="872" ht="15.75" customHeight="1">
      <c r="L872" s="65"/>
    </row>
    <row r="873" ht="15.75" customHeight="1">
      <c r="L873" s="65"/>
    </row>
    <row r="874" ht="15.75" customHeight="1">
      <c r="L874" s="65"/>
    </row>
    <row r="875" ht="15.75" customHeight="1">
      <c r="L875" s="65"/>
    </row>
    <row r="876" ht="15.75" customHeight="1">
      <c r="L876" s="65"/>
    </row>
    <row r="877" ht="15.75" customHeight="1">
      <c r="L877" s="65"/>
    </row>
    <row r="878" ht="15.75" customHeight="1">
      <c r="L878" s="65"/>
    </row>
    <row r="879" ht="15.75" customHeight="1">
      <c r="L879" s="65"/>
    </row>
    <row r="880" ht="15.75" customHeight="1">
      <c r="L880" s="65"/>
    </row>
    <row r="881" ht="15.75" customHeight="1">
      <c r="L881" s="65"/>
    </row>
    <row r="882" ht="15.75" customHeight="1">
      <c r="L882" s="65"/>
    </row>
    <row r="883" ht="15.75" customHeight="1">
      <c r="L883" s="65"/>
    </row>
    <row r="884" ht="15.75" customHeight="1">
      <c r="L884" s="65"/>
    </row>
    <row r="885" ht="15.75" customHeight="1">
      <c r="L885" s="65"/>
    </row>
    <row r="886" ht="15.75" customHeight="1">
      <c r="L886" s="65"/>
    </row>
    <row r="887" ht="15.75" customHeight="1">
      <c r="L887" s="65"/>
    </row>
    <row r="888" ht="15.75" customHeight="1">
      <c r="L888" s="65"/>
    </row>
    <row r="889" ht="15.75" customHeight="1">
      <c r="L889" s="65"/>
    </row>
    <row r="890" ht="15.75" customHeight="1">
      <c r="L890" s="65"/>
    </row>
    <row r="891" ht="15.75" customHeight="1">
      <c r="L891" s="65"/>
    </row>
    <row r="892" ht="15.75" customHeight="1">
      <c r="L892" s="65"/>
    </row>
    <row r="893" ht="15.75" customHeight="1">
      <c r="L893" s="65"/>
    </row>
    <row r="894" ht="15.75" customHeight="1">
      <c r="L894" s="65"/>
    </row>
    <row r="895" ht="15.75" customHeight="1">
      <c r="L895" s="65"/>
    </row>
    <row r="896" ht="15.75" customHeight="1">
      <c r="L896" s="65"/>
    </row>
    <row r="897" ht="15.75" customHeight="1">
      <c r="L897" s="65"/>
    </row>
    <row r="898" ht="15.75" customHeight="1">
      <c r="L898" s="65"/>
    </row>
    <row r="899" ht="15.75" customHeight="1">
      <c r="L899" s="65"/>
    </row>
    <row r="900" ht="15.75" customHeight="1">
      <c r="L900" s="65"/>
    </row>
    <row r="901" ht="15.75" customHeight="1">
      <c r="L901" s="65"/>
    </row>
    <row r="902" ht="15.75" customHeight="1">
      <c r="L902" s="65"/>
    </row>
    <row r="903" ht="15.75" customHeight="1">
      <c r="L903" s="65"/>
    </row>
    <row r="904" ht="15.75" customHeight="1">
      <c r="L904" s="65"/>
    </row>
    <row r="905" ht="15.75" customHeight="1">
      <c r="L905" s="65"/>
    </row>
    <row r="906" ht="15.75" customHeight="1">
      <c r="L906" s="65"/>
    </row>
    <row r="907" ht="15.75" customHeight="1">
      <c r="L907" s="65"/>
    </row>
    <row r="908" ht="15.75" customHeight="1">
      <c r="L908" s="65"/>
    </row>
    <row r="909" ht="15.75" customHeight="1">
      <c r="L909" s="65"/>
    </row>
    <row r="910" ht="15.75" customHeight="1">
      <c r="L910" s="65"/>
    </row>
    <row r="911" ht="15.75" customHeight="1">
      <c r="L911" s="65"/>
    </row>
    <row r="912" ht="15.75" customHeight="1">
      <c r="L912" s="65"/>
    </row>
    <row r="913" ht="15.75" customHeight="1">
      <c r="L913" s="65"/>
    </row>
    <row r="914" ht="15.75" customHeight="1">
      <c r="L914" s="65"/>
    </row>
    <row r="915" ht="15.75" customHeight="1">
      <c r="L915" s="65"/>
    </row>
    <row r="916" ht="15.75" customHeight="1">
      <c r="L916" s="65"/>
    </row>
    <row r="917" ht="15.75" customHeight="1">
      <c r="L917" s="65"/>
    </row>
    <row r="918" ht="15.75" customHeight="1">
      <c r="L918" s="65"/>
    </row>
    <row r="919" ht="15.75" customHeight="1">
      <c r="L919" s="65"/>
    </row>
    <row r="920" ht="15.75" customHeight="1">
      <c r="L920" s="65"/>
    </row>
    <row r="921" ht="15.75" customHeight="1">
      <c r="L921" s="65"/>
    </row>
    <row r="922" ht="15.75" customHeight="1">
      <c r="L922" s="65"/>
    </row>
    <row r="923" ht="15.75" customHeight="1">
      <c r="L923" s="65"/>
    </row>
    <row r="924" ht="15.75" customHeight="1">
      <c r="L924" s="65"/>
    </row>
    <row r="925" ht="15.75" customHeight="1">
      <c r="L925" s="65"/>
    </row>
    <row r="926" ht="15.75" customHeight="1">
      <c r="L926" s="65"/>
    </row>
    <row r="927" ht="15.75" customHeight="1">
      <c r="L927" s="65"/>
    </row>
    <row r="928" ht="15.75" customHeight="1">
      <c r="L928" s="65"/>
    </row>
    <row r="929" ht="15.75" customHeight="1">
      <c r="L929" s="65"/>
    </row>
    <row r="930" ht="15.75" customHeight="1">
      <c r="L930" s="65"/>
    </row>
    <row r="931" ht="15.75" customHeight="1">
      <c r="L931" s="65"/>
    </row>
    <row r="932" ht="15.75" customHeight="1">
      <c r="L932" s="65"/>
    </row>
    <row r="933" ht="15.75" customHeight="1">
      <c r="L933" s="65"/>
    </row>
    <row r="934" ht="15.75" customHeight="1">
      <c r="L934" s="65"/>
    </row>
    <row r="935" ht="15.75" customHeight="1">
      <c r="L935" s="65"/>
    </row>
    <row r="936" ht="15.75" customHeight="1">
      <c r="L936" s="65"/>
    </row>
    <row r="937" ht="15.75" customHeight="1">
      <c r="L937" s="65"/>
    </row>
    <row r="938" ht="15.75" customHeight="1">
      <c r="L938" s="65"/>
    </row>
    <row r="939" ht="15.75" customHeight="1">
      <c r="L939" s="65"/>
    </row>
    <row r="940" ht="15.75" customHeight="1">
      <c r="L940" s="65"/>
    </row>
    <row r="941" ht="15.75" customHeight="1">
      <c r="L941" s="65"/>
    </row>
    <row r="942" ht="15.75" customHeight="1">
      <c r="L942" s="65"/>
    </row>
    <row r="943" ht="15.75" customHeight="1">
      <c r="L943" s="65"/>
    </row>
    <row r="944" ht="15.75" customHeight="1">
      <c r="L944" s="65"/>
    </row>
    <row r="945" ht="15.75" customHeight="1">
      <c r="L945" s="65"/>
    </row>
    <row r="946" ht="15.75" customHeight="1">
      <c r="L946" s="65"/>
    </row>
    <row r="947" ht="15.75" customHeight="1">
      <c r="L947" s="65"/>
    </row>
    <row r="948" ht="15.75" customHeight="1">
      <c r="L948" s="65"/>
    </row>
    <row r="949" ht="15.75" customHeight="1">
      <c r="L949" s="65"/>
    </row>
    <row r="950" ht="15.75" customHeight="1">
      <c r="L950" s="65"/>
    </row>
    <row r="951" ht="15.75" customHeight="1">
      <c r="L951" s="65"/>
    </row>
    <row r="952" ht="15.75" customHeight="1">
      <c r="L952" s="65"/>
    </row>
    <row r="953" ht="15.75" customHeight="1">
      <c r="L953" s="65"/>
    </row>
    <row r="954" ht="15.75" customHeight="1">
      <c r="L954" s="65"/>
    </row>
    <row r="955" ht="15.75" customHeight="1">
      <c r="L955" s="65"/>
    </row>
    <row r="956" ht="15.75" customHeight="1">
      <c r="L956" s="65"/>
    </row>
    <row r="957" ht="15.75" customHeight="1">
      <c r="L957" s="65"/>
    </row>
    <row r="958" ht="15.75" customHeight="1">
      <c r="L958" s="65"/>
    </row>
    <row r="959" ht="15.75" customHeight="1">
      <c r="L959" s="65"/>
    </row>
    <row r="960" ht="15.75" customHeight="1">
      <c r="L960" s="65"/>
    </row>
    <row r="961" ht="15.75" customHeight="1">
      <c r="L961" s="65"/>
    </row>
    <row r="962" ht="15.75" customHeight="1">
      <c r="L962" s="65"/>
    </row>
    <row r="963" ht="15.75" customHeight="1">
      <c r="L963" s="65"/>
    </row>
    <row r="964" ht="15.75" customHeight="1">
      <c r="L964" s="65"/>
    </row>
    <row r="965" ht="15.75" customHeight="1">
      <c r="L965" s="65"/>
    </row>
    <row r="966" ht="15.75" customHeight="1">
      <c r="L966" s="65"/>
    </row>
    <row r="967" ht="15.75" customHeight="1">
      <c r="L967" s="65"/>
    </row>
    <row r="968" ht="15.75" customHeight="1">
      <c r="L968" s="65"/>
    </row>
    <row r="969" ht="15.75" customHeight="1">
      <c r="L969" s="65"/>
    </row>
    <row r="970" ht="15.75" customHeight="1">
      <c r="L970" s="65"/>
    </row>
    <row r="971" ht="15.75" customHeight="1">
      <c r="L971" s="65"/>
    </row>
    <row r="972" ht="15.75" customHeight="1">
      <c r="L972" s="65"/>
    </row>
    <row r="973" ht="15.75" customHeight="1">
      <c r="L973" s="65"/>
    </row>
    <row r="974" ht="15.75" customHeight="1">
      <c r="L974" s="65"/>
    </row>
    <row r="975" ht="15.75" customHeight="1">
      <c r="L975" s="65"/>
    </row>
    <row r="976" ht="15.75" customHeight="1">
      <c r="L976" s="65"/>
    </row>
    <row r="977" ht="15.75" customHeight="1">
      <c r="L977" s="65"/>
    </row>
    <row r="978" ht="15.75" customHeight="1">
      <c r="L978" s="65"/>
    </row>
    <row r="979" ht="15.75" customHeight="1">
      <c r="L979" s="65"/>
    </row>
    <row r="980" ht="15.75" customHeight="1">
      <c r="L980" s="65"/>
    </row>
    <row r="981" ht="15.75" customHeight="1">
      <c r="L981" s="65"/>
    </row>
    <row r="982" ht="15.75" customHeight="1">
      <c r="L982" s="65"/>
    </row>
    <row r="983" ht="15.75" customHeight="1">
      <c r="L983" s="65"/>
    </row>
    <row r="984" ht="15.75" customHeight="1">
      <c r="L984" s="65"/>
    </row>
    <row r="985" ht="15.75" customHeight="1">
      <c r="L985" s="65"/>
    </row>
    <row r="986" ht="15.75" customHeight="1">
      <c r="L986" s="65"/>
    </row>
    <row r="987" ht="15.75" customHeight="1">
      <c r="L987" s="65"/>
    </row>
    <row r="988" ht="15.75" customHeight="1">
      <c r="L988" s="65"/>
    </row>
    <row r="989" ht="15.75" customHeight="1">
      <c r="L989" s="65"/>
    </row>
    <row r="990" ht="15.75" customHeight="1">
      <c r="L990" s="65"/>
    </row>
    <row r="991" ht="15.75" customHeight="1">
      <c r="L991" s="65"/>
    </row>
    <row r="992" ht="15.75" customHeight="1">
      <c r="L992" s="65"/>
    </row>
    <row r="993" ht="15.75" customHeight="1">
      <c r="L993" s="65"/>
    </row>
    <row r="994" ht="15.75" customHeight="1">
      <c r="L994" s="65"/>
    </row>
    <row r="995" ht="15.75" customHeight="1">
      <c r="L995" s="65"/>
    </row>
    <row r="996" ht="15.75" customHeight="1">
      <c r="L996" s="65"/>
    </row>
    <row r="997" ht="15.75" customHeight="1">
      <c r="L997" s="65"/>
    </row>
    <row r="998" ht="15.75" customHeight="1">
      <c r="L998" s="65"/>
    </row>
    <row r="999" ht="15.75" customHeight="1">
      <c r="L999" s="65"/>
    </row>
    <row r="1000" ht="15.75" customHeight="1">
      <c r="L1000" s="65"/>
    </row>
  </sheetData>
  <mergeCells count="1">
    <mergeCell ref="A2:K2"/>
  </mergeCells>
  <conditionalFormatting sqref="L7:L1000">
    <cfRule type="expression" dxfId="3" priority="1" stopIfTrue="1">
      <formula>AND($D7="Feature",$L7="")</formula>
    </cfRule>
  </conditionalFormatting>
  <dataValidations>
    <dataValidation type="list" allowBlank="1" sqref="F7:F500">
      <formula1>"To Do,In Progress,Review,QA,Done,Blocked"</formula1>
    </dataValidation>
    <dataValidation type="list" allowBlank="1" sqref="L7:L1000">
      <formula1>"Так,Ні"</formula1>
    </dataValidation>
    <dataValidation type="list" allowBlank="1" sqref="D7:D500">
      <formula1>"Feature,Bug,Tech task,Research"</formula1>
    </dataValidation>
    <dataValidation type="list" allowBlank="1" sqref="E7:E500">
      <formula1>"Critical,High,Medium,Low"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12.0"/>
    <col customWidth="1" min="4" max="4" width="32.0"/>
    <col customWidth="1" min="5" max="5" width="18.0"/>
    <col customWidth="1" min="6" max="6" width="24.0"/>
    <col customWidth="1" min="7" max="7" width="13.0"/>
    <col customWidth="1" min="8" max="8" width="12.0"/>
    <col customWidth="1" min="9" max="9" width="32.0"/>
  </cols>
  <sheetData>
    <row r="1">
      <c r="A1" s="1" t="s">
        <v>256</v>
      </c>
    </row>
    <row r="2" ht="48.0" customHeight="1">
      <c r="A2" s="2" t="s">
        <v>257</v>
      </c>
    </row>
    <row r="4">
      <c r="A4" s="7" t="s">
        <v>258</v>
      </c>
      <c r="B4" s="18">
        <f>COUNTIF(G7:G500,"Запитано")+COUNTIF(G7:G500,"Не запитано")</f>
        <v>16</v>
      </c>
    </row>
    <row r="6" ht="30.0" customHeight="1">
      <c r="A6" s="4" t="s">
        <v>259</v>
      </c>
      <c r="B6" s="4" t="s">
        <v>242</v>
      </c>
      <c r="C6" s="4" t="s">
        <v>260</v>
      </c>
      <c r="D6" s="4" t="s">
        <v>261</v>
      </c>
      <c r="E6" s="4" t="s">
        <v>262</v>
      </c>
      <c r="F6" s="4" t="s">
        <v>263</v>
      </c>
      <c r="G6" s="4" t="s">
        <v>65</v>
      </c>
      <c r="H6" s="4" t="s">
        <v>72</v>
      </c>
      <c r="I6" s="4" t="s">
        <v>264</v>
      </c>
    </row>
    <row r="7">
      <c r="A7" s="29" t="s">
        <v>86</v>
      </c>
      <c r="B7" s="29" t="s">
        <v>265</v>
      </c>
      <c r="C7" s="29" t="s">
        <v>266</v>
      </c>
      <c r="D7" s="29"/>
      <c r="E7" s="29"/>
      <c r="F7" s="29"/>
      <c r="G7" s="29" t="s">
        <v>267</v>
      </c>
      <c r="H7" s="51"/>
      <c r="I7" s="29"/>
    </row>
    <row r="8">
      <c r="A8" s="29" t="s">
        <v>268</v>
      </c>
      <c r="B8" s="29" t="s">
        <v>269</v>
      </c>
      <c r="C8" s="29" t="s">
        <v>266</v>
      </c>
      <c r="D8" s="29"/>
      <c r="E8" s="29"/>
      <c r="F8" s="29"/>
      <c r="G8" s="29" t="s">
        <v>267</v>
      </c>
      <c r="H8" s="51"/>
      <c r="I8" s="29"/>
    </row>
    <row r="9">
      <c r="A9" s="29" t="s">
        <v>270</v>
      </c>
      <c r="B9" s="29" t="s">
        <v>271</v>
      </c>
      <c r="C9" s="29" t="s">
        <v>272</v>
      </c>
      <c r="D9" s="29"/>
      <c r="E9" s="29"/>
      <c r="F9" s="29"/>
      <c r="G9" s="29" t="s">
        <v>267</v>
      </c>
      <c r="H9" s="51"/>
      <c r="I9" s="29"/>
    </row>
    <row r="10">
      <c r="A10" s="29" t="s">
        <v>273</v>
      </c>
      <c r="B10" s="29" t="s">
        <v>271</v>
      </c>
      <c r="C10" s="29" t="s">
        <v>274</v>
      </c>
      <c r="D10" s="29"/>
      <c r="E10" s="29"/>
      <c r="F10" s="29"/>
      <c r="G10" s="29" t="s">
        <v>267</v>
      </c>
      <c r="H10" s="51"/>
      <c r="I10" s="29"/>
    </row>
    <row r="11">
      <c r="A11" s="29" t="s">
        <v>275</v>
      </c>
      <c r="B11" s="29" t="s">
        <v>271</v>
      </c>
      <c r="C11" s="29" t="s">
        <v>276</v>
      </c>
      <c r="D11" s="29"/>
      <c r="E11" s="29"/>
      <c r="F11" s="29"/>
      <c r="G11" s="29" t="s">
        <v>267</v>
      </c>
      <c r="H11" s="51"/>
      <c r="I11" s="29"/>
    </row>
    <row r="12">
      <c r="A12" s="29" t="s">
        <v>277</v>
      </c>
      <c r="B12" s="29" t="s">
        <v>278</v>
      </c>
      <c r="C12" s="29" t="s">
        <v>266</v>
      </c>
      <c r="D12" s="29"/>
      <c r="E12" s="29"/>
      <c r="F12" s="29"/>
      <c r="G12" s="29" t="s">
        <v>267</v>
      </c>
      <c r="H12" s="51"/>
      <c r="I12" s="29"/>
    </row>
    <row r="13">
      <c r="A13" s="29" t="s">
        <v>279</v>
      </c>
      <c r="B13" s="29" t="s">
        <v>280</v>
      </c>
      <c r="C13" s="29" t="s">
        <v>272</v>
      </c>
      <c r="D13" s="29"/>
      <c r="E13" s="29"/>
      <c r="F13" s="29"/>
      <c r="G13" s="29" t="s">
        <v>267</v>
      </c>
      <c r="H13" s="51"/>
      <c r="I13" s="29"/>
    </row>
    <row r="14">
      <c r="A14" s="29" t="s">
        <v>281</v>
      </c>
      <c r="B14" s="29" t="s">
        <v>282</v>
      </c>
      <c r="C14" s="29" t="s">
        <v>266</v>
      </c>
      <c r="D14" s="29"/>
      <c r="E14" s="29"/>
      <c r="F14" s="29"/>
      <c r="G14" s="29" t="s">
        <v>267</v>
      </c>
      <c r="H14" s="51"/>
      <c r="I14" s="29"/>
    </row>
    <row r="15">
      <c r="A15" s="29" t="s">
        <v>91</v>
      </c>
      <c r="B15" s="29" t="s">
        <v>282</v>
      </c>
      <c r="C15" s="29" t="s">
        <v>266</v>
      </c>
      <c r="D15" s="29"/>
      <c r="E15" s="29"/>
      <c r="F15" s="29"/>
      <c r="G15" s="29" t="s">
        <v>267</v>
      </c>
      <c r="H15" s="51"/>
      <c r="I15" s="29"/>
    </row>
    <row r="16">
      <c r="A16" s="29" t="s">
        <v>283</v>
      </c>
      <c r="B16" s="29" t="s">
        <v>282</v>
      </c>
      <c r="C16" s="29" t="s">
        <v>266</v>
      </c>
      <c r="D16" s="29"/>
      <c r="E16" s="29"/>
      <c r="F16" s="29"/>
      <c r="G16" s="29" t="s">
        <v>267</v>
      </c>
      <c r="H16" s="51"/>
      <c r="I16" s="29"/>
    </row>
    <row r="17">
      <c r="A17" s="29" t="s">
        <v>284</v>
      </c>
      <c r="B17" s="29" t="s">
        <v>285</v>
      </c>
      <c r="C17" s="29" t="s">
        <v>272</v>
      </c>
      <c r="D17" s="29"/>
      <c r="E17" s="29"/>
      <c r="F17" s="29"/>
      <c r="G17" s="29" t="s">
        <v>267</v>
      </c>
      <c r="H17" s="51"/>
      <c r="I17" s="29"/>
    </row>
    <row r="18">
      <c r="A18" s="29" t="s">
        <v>286</v>
      </c>
      <c r="B18" s="29" t="s">
        <v>285</v>
      </c>
      <c r="C18" s="29" t="s">
        <v>272</v>
      </c>
      <c r="D18" s="29"/>
      <c r="E18" s="29"/>
      <c r="F18" s="29"/>
      <c r="G18" s="29" t="s">
        <v>267</v>
      </c>
      <c r="H18" s="51"/>
      <c r="I18" s="29"/>
    </row>
    <row r="19">
      <c r="A19" s="29" t="s">
        <v>287</v>
      </c>
      <c r="B19" s="29" t="s">
        <v>269</v>
      </c>
      <c r="C19" s="29" t="s">
        <v>276</v>
      </c>
      <c r="D19" s="29"/>
      <c r="E19" s="29"/>
      <c r="F19" s="29"/>
      <c r="G19" s="29" t="s">
        <v>267</v>
      </c>
      <c r="H19" s="51"/>
      <c r="I19" s="29"/>
    </row>
    <row r="20">
      <c r="A20" s="29" t="s">
        <v>289</v>
      </c>
      <c r="B20" s="29" t="s">
        <v>290</v>
      </c>
      <c r="C20" s="29" t="s">
        <v>276</v>
      </c>
      <c r="D20" s="29"/>
      <c r="E20" s="29"/>
      <c r="F20" s="29"/>
      <c r="G20" s="29" t="s">
        <v>267</v>
      </c>
      <c r="H20" s="51"/>
      <c r="I20" s="29"/>
    </row>
    <row r="21" ht="15.75" customHeight="1">
      <c r="A21" s="29" t="s">
        <v>292</v>
      </c>
      <c r="B21" s="29" t="s">
        <v>293</v>
      </c>
      <c r="C21" s="29" t="s">
        <v>266</v>
      </c>
      <c r="D21" s="29"/>
      <c r="E21" s="29"/>
      <c r="F21" s="29"/>
      <c r="G21" s="29" t="s">
        <v>267</v>
      </c>
      <c r="H21" s="51"/>
      <c r="I21" s="29"/>
    </row>
    <row r="22" ht="15.75" customHeight="1">
      <c r="A22" s="29" t="s">
        <v>298</v>
      </c>
      <c r="B22" s="29" t="s">
        <v>177</v>
      </c>
      <c r="C22" s="29" t="s">
        <v>266</v>
      </c>
      <c r="D22" s="29"/>
      <c r="E22" s="29"/>
      <c r="F22" s="29"/>
      <c r="G22" s="29" t="s">
        <v>267</v>
      </c>
      <c r="H22" s="51"/>
      <c r="I22" s="29"/>
    </row>
    <row r="23" ht="15.75" customHeight="1">
      <c r="A23" s="29"/>
      <c r="B23" s="29"/>
      <c r="C23" s="29"/>
      <c r="D23" s="29"/>
      <c r="E23" s="29"/>
      <c r="F23" s="29"/>
      <c r="G23" s="29"/>
      <c r="H23" s="51"/>
      <c r="I23" s="29"/>
    </row>
    <row r="24" ht="15.75" customHeight="1">
      <c r="A24" s="29"/>
      <c r="B24" s="29"/>
      <c r="C24" s="29"/>
      <c r="D24" s="29"/>
      <c r="E24" s="29"/>
      <c r="F24" s="29"/>
      <c r="G24" s="29"/>
      <c r="H24" s="51"/>
      <c r="I24" s="29"/>
    </row>
    <row r="25" ht="15.75" customHeight="1">
      <c r="A25" s="29"/>
      <c r="B25" s="29"/>
      <c r="C25" s="29"/>
      <c r="D25" s="29"/>
      <c r="E25" s="29"/>
      <c r="F25" s="29"/>
      <c r="G25" s="29"/>
      <c r="H25" s="51"/>
      <c r="I25" s="29"/>
    </row>
    <row r="26" ht="15.75" customHeight="1">
      <c r="A26" s="29"/>
      <c r="B26" s="29"/>
      <c r="C26" s="29"/>
      <c r="D26" s="29"/>
      <c r="E26" s="29"/>
      <c r="F26" s="29"/>
      <c r="G26" s="29"/>
      <c r="H26" s="51"/>
      <c r="I26" s="29"/>
    </row>
    <row r="27" ht="15.75" customHeight="1">
      <c r="A27" s="29"/>
      <c r="B27" s="29"/>
      <c r="C27" s="29"/>
      <c r="D27" s="29"/>
      <c r="E27" s="29"/>
      <c r="F27" s="29"/>
      <c r="G27" s="29"/>
      <c r="H27" s="51"/>
      <c r="I27" s="29"/>
    </row>
    <row r="28" ht="15.75" customHeight="1">
      <c r="A28" s="29"/>
      <c r="B28" s="29"/>
      <c r="C28" s="29"/>
      <c r="D28" s="29"/>
      <c r="E28" s="29"/>
      <c r="F28" s="29"/>
      <c r="G28" s="29"/>
      <c r="H28" s="51"/>
      <c r="I28" s="29"/>
    </row>
    <row r="29" ht="15.75" customHeight="1">
      <c r="C29" s="43"/>
      <c r="G29" s="43"/>
      <c r="H29" s="55"/>
    </row>
    <row r="30" ht="15.75" customHeight="1">
      <c r="C30" s="43"/>
      <c r="G30" s="43"/>
      <c r="H30" s="55"/>
    </row>
    <row r="31" ht="15.75" customHeight="1">
      <c r="C31" s="43"/>
      <c r="G31" s="43"/>
      <c r="H31" s="55"/>
    </row>
    <row r="32" ht="15.75" customHeight="1">
      <c r="C32" s="43"/>
      <c r="G32" s="43"/>
      <c r="H32" s="55"/>
    </row>
    <row r="33" ht="15.75" customHeight="1">
      <c r="C33" s="43"/>
      <c r="G33" s="43"/>
      <c r="H33" s="55"/>
    </row>
    <row r="34" ht="15.75" customHeight="1">
      <c r="C34" s="43"/>
      <c r="G34" s="43"/>
      <c r="H34" s="55"/>
    </row>
    <row r="35" ht="15.75" customHeight="1">
      <c r="C35" s="43"/>
      <c r="G35" s="43"/>
      <c r="H35" s="55"/>
    </row>
    <row r="36" ht="15.75" customHeight="1">
      <c r="C36" s="43"/>
      <c r="G36" s="43"/>
      <c r="H36" s="55"/>
    </row>
    <row r="37" ht="15.75" customHeight="1">
      <c r="C37" s="43"/>
      <c r="G37" s="43"/>
      <c r="H37" s="55"/>
    </row>
    <row r="38" ht="15.75" customHeight="1">
      <c r="C38" s="43"/>
      <c r="G38" s="43"/>
      <c r="H38" s="55"/>
    </row>
    <row r="39" ht="15.75" customHeight="1">
      <c r="C39" s="43"/>
      <c r="G39" s="43"/>
      <c r="H39" s="55"/>
    </row>
    <row r="40" ht="15.75" customHeight="1">
      <c r="C40" s="43"/>
      <c r="G40" s="43"/>
      <c r="H40" s="55"/>
    </row>
    <row r="41" ht="15.75" customHeight="1">
      <c r="C41" s="43"/>
      <c r="G41" s="43"/>
      <c r="H41" s="55"/>
    </row>
    <row r="42" ht="15.75" customHeight="1">
      <c r="C42" s="43"/>
      <c r="G42" s="43"/>
      <c r="H42" s="55"/>
    </row>
    <row r="43" ht="15.75" customHeight="1">
      <c r="C43" s="43"/>
      <c r="G43" s="43"/>
      <c r="H43" s="55"/>
    </row>
    <row r="44" ht="15.75" customHeight="1">
      <c r="C44" s="43"/>
      <c r="G44" s="43"/>
      <c r="H44" s="55"/>
    </row>
    <row r="45" ht="15.75" customHeight="1">
      <c r="C45" s="43"/>
      <c r="G45" s="43"/>
      <c r="H45" s="55"/>
    </row>
    <row r="46" ht="15.75" customHeight="1">
      <c r="C46" s="43"/>
      <c r="G46" s="43"/>
      <c r="H46" s="55"/>
    </row>
    <row r="47" ht="15.75" customHeight="1">
      <c r="C47" s="43"/>
      <c r="G47" s="43"/>
      <c r="H47" s="55"/>
    </row>
    <row r="48" ht="15.75" customHeight="1">
      <c r="C48" s="43"/>
      <c r="G48" s="43"/>
      <c r="H48" s="55"/>
    </row>
    <row r="49" ht="15.75" customHeight="1">
      <c r="C49" s="43"/>
      <c r="G49" s="43"/>
      <c r="H49" s="55"/>
    </row>
    <row r="50" ht="15.75" customHeight="1">
      <c r="C50" s="43"/>
      <c r="G50" s="43"/>
      <c r="H50" s="55"/>
    </row>
    <row r="51" ht="15.75" customHeight="1">
      <c r="C51" s="43"/>
      <c r="G51" s="43"/>
      <c r="H51" s="55"/>
    </row>
    <row r="52" ht="15.75" customHeight="1">
      <c r="C52" s="43"/>
      <c r="G52" s="43"/>
      <c r="H52" s="55"/>
    </row>
    <row r="53" ht="15.75" customHeight="1">
      <c r="C53" s="43"/>
      <c r="G53" s="43"/>
      <c r="H53" s="55"/>
    </row>
    <row r="54" ht="15.75" customHeight="1">
      <c r="C54" s="43"/>
      <c r="G54" s="43"/>
      <c r="H54" s="55"/>
    </row>
    <row r="55" ht="15.75" customHeight="1">
      <c r="C55" s="43"/>
      <c r="G55" s="43"/>
      <c r="H55" s="55"/>
    </row>
    <row r="56" ht="15.75" customHeight="1">
      <c r="C56" s="43"/>
      <c r="G56" s="43"/>
      <c r="H56" s="55"/>
    </row>
    <row r="57" ht="15.75" customHeight="1">
      <c r="C57" s="43"/>
      <c r="G57" s="43"/>
      <c r="H57" s="55"/>
    </row>
    <row r="58" ht="15.75" customHeight="1">
      <c r="C58" s="43"/>
      <c r="G58" s="43"/>
      <c r="H58" s="55"/>
    </row>
    <row r="59" ht="15.75" customHeight="1">
      <c r="C59" s="43"/>
      <c r="G59" s="43"/>
      <c r="H59" s="55"/>
    </row>
    <row r="60" ht="15.75" customHeight="1">
      <c r="C60" s="43"/>
      <c r="G60" s="43"/>
      <c r="H60" s="55"/>
    </row>
    <row r="61" ht="15.75" customHeight="1">
      <c r="C61" s="43"/>
      <c r="G61" s="43"/>
      <c r="H61" s="55"/>
    </row>
    <row r="62" ht="15.75" customHeight="1">
      <c r="C62" s="43"/>
      <c r="G62" s="43"/>
      <c r="H62" s="55"/>
    </row>
    <row r="63" ht="15.75" customHeight="1">
      <c r="C63" s="43"/>
      <c r="G63" s="43"/>
      <c r="H63" s="55"/>
    </row>
    <row r="64" ht="15.75" customHeight="1">
      <c r="C64" s="43"/>
      <c r="G64" s="43"/>
      <c r="H64" s="55"/>
    </row>
    <row r="65" ht="15.75" customHeight="1">
      <c r="C65" s="43"/>
      <c r="G65" s="43"/>
      <c r="H65" s="55"/>
    </row>
    <row r="66" ht="15.75" customHeight="1">
      <c r="C66" s="43"/>
      <c r="G66" s="43"/>
      <c r="H66" s="55"/>
    </row>
    <row r="67" ht="15.75" customHeight="1">
      <c r="C67" s="43"/>
      <c r="G67" s="43"/>
      <c r="H67" s="55"/>
    </row>
    <row r="68" ht="15.75" customHeight="1">
      <c r="C68" s="43"/>
      <c r="G68" s="43"/>
      <c r="H68" s="55"/>
    </row>
    <row r="69" ht="15.75" customHeight="1">
      <c r="C69" s="43"/>
      <c r="G69" s="43"/>
      <c r="H69" s="55"/>
    </row>
    <row r="70" ht="15.75" customHeight="1">
      <c r="C70" s="43"/>
      <c r="G70" s="43"/>
      <c r="H70" s="55"/>
    </row>
    <row r="71" ht="15.75" customHeight="1">
      <c r="C71" s="43"/>
      <c r="G71" s="43"/>
      <c r="H71" s="55"/>
    </row>
    <row r="72" ht="15.75" customHeight="1">
      <c r="C72" s="43"/>
      <c r="G72" s="43"/>
      <c r="H72" s="55"/>
    </row>
    <row r="73" ht="15.75" customHeight="1">
      <c r="C73" s="43"/>
      <c r="G73" s="43"/>
      <c r="H73" s="55"/>
    </row>
    <row r="74" ht="15.75" customHeight="1">
      <c r="C74" s="43"/>
      <c r="G74" s="43"/>
      <c r="H74" s="55"/>
    </row>
    <row r="75" ht="15.75" customHeight="1">
      <c r="C75" s="43"/>
      <c r="G75" s="43"/>
      <c r="H75" s="55"/>
    </row>
    <row r="76" ht="15.75" customHeight="1">
      <c r="C76" s="43"/>
      <c r="G76" s="43"/>
      <c r="H76" s="55"/>
    </row>
    <row r="77" ht="15.75" customHeight="1">
      <c r="C77" s="43"/>
      <c r="G77" s="43"/>
      <c r="H77" s="55"/>
    </row>
    <row r="78" ht="15.75" customHeight="1">
      <c r="C78" s="43"/>
      <c r="G78" s="43"/>
      <c r="H78" s="55"/>
    </row>
    <row r="79" ht="15.75" customHeight="1">
      <c r="C79" s="43"/>
      <c r="G79" s="43"/>
      <c r="H79" s="55"/>
    </row>
    <row r="80" ht="15.75" customHeight="1">
      <c r="C80" s="43"/>
      <c r="G80" s="43"/>
      <c r="H80" s="55"/>
    </row>
    <row r="81" ht="15.75" customHeight="1">
      <c r="C81" s="43"/>
      <c r="G81" s="43"/>
      <c r="H81" s="55"/>
    </row>
    <row r="82" ht="15.75" customHeight="1">
      <c r="C82" s="43"/>
      <c r="G82" s="43"/>
      <c r="H82" s="55"/>
    </row>
    <row r="83" ht="15.75" customHeight="1">
      <c r="C83" s="43"/>
      <c r="G83" s="43"/>
      <c r="H83" s="55"/>
    </row>
    <row r="84" ht="15.75" customHeight="1">
      <c r="C84" s="43"/>
      <c r="G84" s="43"/>
      <c r="H84" s="55"/>
    </row>
    <row r="85" ht="15.75" customHeight="1">
      <c r="C85" s="43"/>
      <c r="G85" s="43"/>
      <c r="H85" s="55"/>
    </row>
    <row r="86" ht="15.75" customHeight="1">
      <c r="C86" s="43"/>
      <c r="G86" s="43"/>
      <c r="H86" s="55"/>
    </row>
    <row r="87" ht="15.75" customHeight="1">
      <c r="C87" s="43"/>
      <c r="G87" s="43"/>
      <c r="H87" s="55"/>
    </row>
    <row r="88" ht="15.75" customHeight="1">
      <c r="C88" s="43"/>
      <c r="G88" s="43"/>
      <c r="H88" s="55"/>
    </row>
    <row r="89" ht="15.75" customHeight="1">
      <c r="C89" s="43"/>
      <c r="G89" s="43"/>
      <c r="H89" s="55"/>
    </row>
    <row r="90" ht="15.75" customHeight="1">
      <c r="C90" s="43"/>
      <c r="G90" s="43"/>
      <c r="H90" s="55"/>
    </row>
    <row r="91" ht="15.75" customHeight="1">
      <c r="C91" s="43"/>
      <c r="G91" s="43"/>
      <c r="H91" s="55"/>
    </row>
    <row r="92" ht="15.75" customHeight="1">
      <c r="C92" s="43"/>
      <c r="G92" s="43"/>
      <c r="H92" s="55"/>
    </row>
    <row r="93" ht="15.75" customHeight="1">
      <c r="C93" s="43"/>
      <c r="G93" s="43"/>
      <c r="H93" s="55"/>
    </row>
    <row r="94" ht="15.75" customHeight="1">
      <c r="C94" s="43"/>
      <c r="G94" s="43"/>
      <c r="H94" s="55"/>
    </row>
    <row r="95" ht="15.75" customHeight="1">
      <c r="C95" s="43"/>
      <c r="G95" s="43"/>
      <c r="H95" s="55"/>
    </row>
    <row r="96" ht="15.75" customHeight="1">
      <c r="C96" s="43"/>
      <c r="G96" s="43"/>
      <c r="H96" s="55"/>
    </row>
    <row r="97" ht="15.75" customHeight="1">
      <c r="C97" s="43"/>
      <c r="G97" s="43"/>
      <c r="H97" s="55"/>
    </row>
    <row r="98" ht="15.75" customHeight="1">
      <c r="C98" s="43"/>
      <c r="G98" s="43"/>
      <c r="H98" s="55"/>
    </row>
    <row r="99" ht="15.75" customHeight="1">
      <c r="C99" s="43"/>
      <c r="G99" s="43"/>
      <c r="H99" s="55"/>
    </row>
    <row r="100" ht="15.75" customHeight="1">
      <c r="C100" s="43"/>
      <c r="G100" s="43"/>
      <c r="H100" s="55"/>
    </row>
    <row r="101" ht="15.75" customHeight="1">
      <c r="C101" s="43"/>
      <c r="G101" s="43"/>
      <c r="H101" s="55"/>
    </row>
    <row r="102" ht="15.75" customHeight="1">
      <c r="C102" s="43"/>
      <c r="G102" s="43"/>
      <c r="H102" s="55"/>
    </row>
    <row r="103" ht="15.75" customHeight="1">
      <c r="C103" s="43"/>
      <c r="G103" s="43"/>
      <c r="H103" s="55"/>
    </row>
    <row r="104" ht="15.75" customHeight="1">
      <c r="C104" s="43"/>
      <c r="G104" s="43"/>
      <c r="H104" s="55"/>
    </row>
    <row r="105" ht="15.75" customHeight="1">
      <c r="C105" s="43"/>
      <c r="G105" s="43"/>
      <c r="H105" s="55"/>
    </row>
    <row r="106" ht="15.75" customHeight="1">
      <c r="C106" s="43"/>
      <c r="G106" s="43"/>
      <c r="H106" s="55"/>
    </row>
    <row r="107" ht="15.75" customHeight="1">
      <c r="C107" s="43"/>
      <c r="G107" s="43"/>
      <c r="H107" s="55"/>
    </row>
    <row r="108" ht="15.75" customHeight="1">
      <c r="C108" s="43"/>
      <c r="G108" s="43"/>
      <c r="H108" s="55"/>
    </row>
    <row r="109" ht="15.75" customHeight="1">
      <c r="C109" s="43"/>
      <c r="G109" s="43"/>
      <c r="H109" s="55"/>
    </row>
    <row r="110" ht="15.75" customHeight="1">
      <c r="C110" s="43"/>
      <c r="G110" s="43"/>
      <c r="H110" s="55"/>
    </row>
    <row r="111" ht="15.75" customHeight="1">
      <c r="C111" s="43"/>
      <c r="G111" s="43"/>
      <c r="H111" s="55"/>
    </row>
    <row r="112" ht="15.75" customHeight="1">
      <c r="C112" s="43"/>
      <c r="G112" s="43"/>
      <c r="H112" s="55"/>
    </row>
    <row r="113" ht="15.75" customHeight="1">
      <c r="C113" s="43"/>
      <c r="G113" s="43"/>
      <c r="H113" s="55"/>
    </row>
    <row r="114" ht="15.75" customHeight="1">
      <c r="C114" s="43"/>
      <c r="G114" s="43"/>
      <c r="H114" s="55"/>
    </row>
    <row r="115" ht="15.75" customHeight="1">
      <c r="C115" s="43"/>
      <c r="G115" s="43"/>
      <c r="H115" s="55"/>
    </row>
    <row r="116" ht="15.75" customHeight="1">
      <c r="C116" s="43"/>
      <c r="G116" s="43"/>
      <c r="H116" s="55"/>
    </row>
    <row r="117" ht="15.75" customHeight="1">
      <c r="C117" s="43"/>
      <c r="G117" s="43"/>
      <c r="H117" s="55"/>
    </row>
    <row r="118" ht="15.75" customHeight="1">
      <c r="C118" s="43"/>
      <c r="G118" s="43"/>
      <c r="H118" s="55"/>
    </row>
    <row r="119" ht="15.75" customHeight="1">
      <c r="C119" s="43"/>
      <c r="G119" s="43"/>
      <c r="H119" s="55"/>
    </row>
    <row r="120" ht="15.75" customHeight="1">
      <c r="C120" s="43"/>
      <c r="G120" s="43"/>
      <c r="H120" s="55"/>
    </row>
    <row r="121" ht="15.75" customHeight="1">
      <c r="C121" s="43"/>
      <c r="G121" s="43"/>
      <c r="H121" s="55"/>
    </row>
    <row r="122" ht="15.75" customHeight="1">
      <c r="C122" s="43"/>
      <c r="G122" s="43"/>
      <c r="H122" s="55"/>
    </row>
    <row r="123" ht="15.75" customHeight="1">
      <c r="C123" s="43"/>
      <c r="G123" s="43"/>
      <c r="H123" s="55"/>
    </row>
    <row r="124" ht="15.75" customHeight="1">
      <c r="C124" s="43"/>
      <c r="G124" s="43"/>
      <c r="H124" s="55"/>
    </row>
    <row r="125" ht="15.75" customHeight="1">
      <c r="C125" s="43"/>
      <c r="G125" s="43"/>
      <c r="H125" s="55"/>
    </row>
    <row r="126" ht="15.75" customHeight="1">
      <c r="C126" s="43"/>
      <c r="G126" s="43"/>
      <c r="H126" s="55"/>
    </row>
    <row r="127" ht="15.75" customHeight="1">
      <c r="C127" s="43"/>
      <c r="G127" s="43"/>
      <c r="H127" s="55"/>
    </row>
    <row r="128" ht="15.75" customHeight="1">
      <c r="C128" s="43"/>
      <c r="G128" s="43"/>
      <c r="H128" s="55"/>
    </row>
    <row r="129" ht="15.75" customHeight="1">
      <c r="C129" s="43"/>
      <c r="G129" s="43"/>
      <c r="H129" s="55"/>
    </row>
    <row r="130" ht="15.75" customHeight="1">
      <c r="C130" s="43"/>
      <c r="G130" s="43"/>
      <c r="H130" s="55"/>
    </row>
    <row r="131" ht="15.75" customHeight="1">
      <c r="C131" s="43"/>
      <c r="G131" s="43"/>
      <c r="H131" s="55"/>
    </row>
    <row r="132" ht="15.75" customHeight="1">
      <c r="C132" s="43"/>
      <c r="G132" s="43"/>
      <c r="H132" s="55"/>
    </row>
    <row r="133" ht="15.75" customHeight="1">
      <c r="C133" s="43"/>
      <c r="G133" s="43"/>
      <c r="H133" s="55"/>
    </row>
    <row r="134" ht="15.75" customHeight="1">
      <c r="C134" s="43"/>
      <c r="G134" s="43"/>
      <c r="H134" s="55"/>
    </row>
    <row r="135" ht="15.75" customHeight="1">
      <c r="C135" s="43"/>
      <c r="G135" s="43"/>
      <c r="H135" s="55"/>
    </row>
    <row r="136" ht="15.75" customHeight="1">
      <c r="C136" s="43"/>
      <c r="G136" s="43"/>
      <c r="H136" s="55"/>
    </row>
    <row r="137" ht="15.75" customHeight="1">
      <c r="C137" s="43"/>
      <c r="G137" s="43"/>
      <c r="H137" s="55"/>
    </row>
    <row r="138" ht="15.75" customHeight="1">
      <c r="C138" s="43"/>
      <c r="G138" s="43"/>
      <c r="H138" s="55"/>
    </row>
    <row r="139" ht="15.75" customHeight="1">
      <c r="C139" s="43"/>
      <c r="G139" s="43"/>
      <c r="H139" s="55"/>
    </row>
    <row r="140" ht="15.75" customHeight="1">
      <c r="C140" s="43"/>
      <c r="G140" s="43"/>
      <c r="H140" s="55"/>
    </row>
    <row r="141" ht="15.75" customHeight="1">
      <c r="C141" s="43"/>
      <c r="G141" s="43"/>
      <c r="H141" s="55"/>
    </row>
    <row r="142" ht="15.75" customHeight="1">
      <c r="C142" s="43"/>
      <c r="G142" s="43"/>
      <c r="H142" s="55"/>
    </row>
    <row r="143" ht="15.75" customHeight="1">
      <c r="C143" s="43"/>
      <c r="G143" s="43"/>
      <c r="H143" s="55"/>
    </row>
    <row r="144" ht="15.75" customHeight="1">
      <c r="C144" s="43"/>
      <c r="G144" s="43"/>
      <c r="H144" s="55"/>
    </row>
    <row r="145" ht="15.75" customHeight="1">
      <c r="C145" s="43"/>
      <c r="G145" s="43"/>
      <c r="H145" s="55"/>
    </row>
    <row r="146" ht="15.75" customHeight="1">
      <c r="C146" s="43"/>
      <c r="G146" s="43"/>
      <c r="H146" s="55"/>
    </row>
    <row r="147" ht="15.75" customHeight="1">
      <c r="C147" s="43"/>
      <c r="G147" s="43"/>
      <c r="H147" s="55"/>
    </row>
    <row r="148" ht="15.75" customHeight="1">
      <c r="C148" s="43"/>
      <c r="G148" s="43"/>
      <c r="H148" s="55"/>
    </row>
    <row r="149" ht="15.75" customHeight="1">
      <c r="C149" s="43"/>
      <c r="G149" s="43"/>
      <c r="H149" s="55"/>
    </row>
    <row r="150" ht="15.75" customHeight="1">
      <c r="C150" s="43"/>
      <c r="G150" s="43"/>
      <c r="H150" s="55"/>
    </row>
    <row r="151" ht="15.75" customHeight="1">
      <c r="C151" s="43"/>
      <c r="G151" s="43"/>
      <c r="H151" s="55"/>
    </row>
    <row r="152" ht="15.75" customHeight="1">
      <c r="C152" s="43"/>
      <c r="G152" s="43"/>
      <c r="H152" s="55"/>
    </row>
    <row r="153" ht="15.75" customHeight="1">
      <c r="C153" s="43"/>
      <c r="G153" s="43"/>
      <c r="H153" s="55"/>
    </row>
    <row r="154" ht="15.75" customHeight="1">
      <c r="C154" s="43"/>
      <c r="G154" s="43"/>
      <c r="H154" s="55"/>
    </row>
    <row r="155" ht="15.75" customHeight="1">
      <c r="C155" s="43"/>
      <c r="G155" s="43"/>
      <c r="H155" s="55"/>
    </row>
    <row r="156" ht="15.75" customHeight="1">
      <c r="C156" s="43"/>
      <c r="G156" s="43"/>
      <c r="H156" s="55"/>
    </row>
    <row r="157" ht="15.75" customHeight="1">
      <c r="C157" s="43"/>
      <c r="G157" s="43"/>
      <c r="H157" s="55"/>
    </row>
    <row r="158" ht="15.75" customHeight="1">
      <c r="C158" s="43"/>
      <c r="G158" s="43"/>
      <c r="H158" s="55"/>
    </row>
    <row r="159" ht="15.75" customHeight="1">
      <c r="C159" s="43"/>
      <c r="G159" s="43"/>
      <c r="H159" s="55"/>
    </row>
    <row r="160" ht="15.75" customHeight="1">
      <c r="C160" s="43"/>
      <c r="G160" s="43"/>
      <c r="H160" s="55"/>
    </row>
    <row r="161" ht="15.75" customHeight="1">
      <c r="C161" s="43"/>
      <c r="G161" s="43"/>
      <c r="H161" s="55"/>
    </row>
    <row r="162" ht="15.75" customHeight="1">
      <c r="C162" s="43"/>
      <c r="G162" s="43"/>
      <c r="H162" s="55"/>
    </row>
    <row r="163" ht="15.75" customHeight="1">
      <c r="C163" s="43"/>
      <c r="G163" s="43"/>
      <c r="H163" s="55"/>
    </row>
    <row r="164" ht="15.75" customHeight="1">
      <c r="C164" s="43"/>
      <c r="G164" s="43"/>
      <c r="H164" s="55"/>
    </row>
    <row r="165" ht="15.75" customHeight="1">
      <c r="C165" s="43"/>
      <c r="G165" s="43"/>
      <c r="H165" s="55"/>
    </row>
    <row r="166" ht="15.75" customHeight="1">
      <c r="C166" s="43"/>
      <c r="G166" s="43"/>
      <c r="H166" s="55"/>
    </row>
    <row r="167" ht="15.75" customHeight="1">
      <c r="C167" s="43"/>
      <c r="G167" s="43"/>
      <c r="H167" s="55"/>
    </row>
    <row r="168" ht="15.75" customHeight="1">
      <c r="C168" s="43"/>
      <c r="G168" s="43"/>
      <c r="H168" s="55"/>
    </row>
    <row r="169" ht="15.75" customHeight="1">
      <c r="C169" s="43"/>
      <c r="G169" s="43"/>
      <c r="H169" s="55"/>
    </row>
    <row r="170" ht="15.75" customHeight="1">
      <c r="C170" s="43"/>
      <c r="G170" s="43"/>
      <c r="H170" s="55"/>
    </row>
    <row r="171" ht="15.75" customHeight="1">
      <c r="C171" s="43"/>
      <c r="G171" s="43"/>
      <c r="H171" s="55"/>
    </row>
    <row r="172" ht="15.75" customHeight="1">
      <c r="C172" s="43"/>
      <c r="G172" s="43"/>
      <c r="H172" s="55"/>
    </row>
    <row r="173" ht="15.75" customHeight="1">
      <c r="C173" s="43"/>
      <c r="G173" s="43"/>
      <c r="H173" s="55"/>
    </row>
    <row r="174" ht="15.75" customHeight="1">
      <c r="C174" s="43"/>
      <c r="G174" s="43"/>
      <c r="H174" s="55"/>
    </row>
    <row r="175" ht="15.75" customHeight="1">
      <c r="C175" s="43"/>
      <c r="G175" s="43"/>
      <c r="H175" s="55"/>
    </row>
    <row r="176" ht="15.75" customHeight="1">
      <c r="C176" s="43"/>
      <c r="G176" s="43"/>
      <c r="H176" s="55"/>
    </row>
    <row r="177" ht="15.75" customHeight="1">
      <c r="C177" s="43"/>
      <c r="G177" s="43"/>
      <c r="H177" s="55"/>
    </row>
    <row r="178" ht="15.75" customHeight="1">
      <c r="C178" s="43"/>
      <c r="G178" s="43"/>
      <c r="H178" s="55"/>
    </row>
    <row r="179" ht="15.75" customHeight="1">
      <c r="C179" s="43"/>
      <c r="G179" s="43"/>
      <c r="H179" s="55"/>
    </row>
    <row r="180" ht="15.75" customHeight="1">
      <c r="C180" s="43"/>
      <c r="G180" s="43"/>
      <c r="H180" s="55"/>
    </row>
    <row r="181" ht="15.75" customHeight="1">
      <c r="C181" s="43"/>
      <c r="G181" s="43"/>
      <c r="H181" s="55"/>
    </row>
    <row r="182" ht="15.75" customHeight="1">
      <c r="C182" s="43"/>
      <c r="G182" s="43"/>
      <c r="H182" s="55"/>
    </row>
    <row r="183" ht="15.75" customHeight="1">
      <c r="C183" s="43"/>
      <c r="G183" s="43"/>
      <c r="H183" s="55"/>
    </row>
    <row r="184" ht="15.75" customHeight="1">
      <c r="C184" s="43"/>
      <c r="G184" s="43"/>
      <c r="H184" s="55"/>
    </row>
    <row r="185" ht="15.75" customHeight="1">
      <c r="C185" s="43"/>
      <c r="G185" s="43"/>
      <c r="H185" s="55"/>
    </row>
    <row r="186" ht="15.75" customHeight="1">
      <c r="C186" s="43"/>
      <c r="G186" s="43"/>
      <c r="H186" s="55"/>
    </row>
    <row r="187" ht="15.75" customHeight="1">
      <c r="C187" s="43"/>
      <c r="G187" s="43"/>
      <c r="H187" s="55"/>
    </row>
    <row r="188" ht="15.75" customHeight="1">
      <c r="C188" s="43"/>
      <c r="G188" s="43"/>
      <c r="H188" s="55"/>
    </row>
    <row r="189" ht="15.75" customHeight="1">
      <c r="C189" s="43"/>
      <c r="G189" s="43"/>
      <c r="H189" s="55"/>
    </row>
    <row r="190" ht="15.75" customHeight="1">
      <c r="C190" s="43"/>
      <c r="G190" s="43"/>
      <c r="H190" s="55"/>
    </row>
    <row r="191" ht="15.75" customHeight="1">
      <c r="C191" s="43"/>
      <c r="G191" s="43"/>
      <c r="H191" s="55"/>
    </row>
    <row r="192" ht="15.75" customHeight="1">
      <c r="C192" s="43"/>
      <c r="G192" s="43"/>
      <c r="H192" s="55"/>
    </row>
    <row r="193" ht="15.75" customHeight="1">
      <c r="C193" s="43"/>
      <c r="G193" s="43"/>
      <c r="H193" s="55"/>
    </row>
    <row r="194" ht="15.75" customHeight="1">
      <c r="C194" s="43"/>
      <c r="G194" s="43"/>
      <c r="H194" s="55"/>
    </row>
    <row r="195" ht="15.75" customHeight="1">
      <c r="C195" s="43"/>
      <c r="G195" s="43"/>
      <c r="H195" s="55"/>
    </row>
    <row r="196" ht="15.75" customHeight="1">
      <c r="C196" s="43"/>
      <c r="G196" s="43"/>
      <c r="H196" s="55"/>
    </row>
    <row r="197" ht="15.75" customHeight="1">
      <c r="C197" s="43"/>
      <c r="G197" s="43"/>
      <c r="H197" s="55"/>
    </row>
    <row r="198" ht="15.75" customHeight="1">
      <c r="C198" s="43"/>
      <c r="G198" s="43"/>
      <c r="H198" s="55"/>
    </row>
    <row r="199" ht="15.75" customHeight="1">
      <c r="C199" s="43"/>
      <c r="G199" s="43"/>
      <c r="H199" s="55"/>
    </row>
    <row r="200" ht="15.75" customHeight="1">
      <c r="C200" s="43"/>
      <c r="G200" s="43"/>
      <c r="H200" s="55"/>
    </row>
    <row r="201" ht="15.75" customHeight="1">
      <c r="C201" s="43"/>
      <c r="G201" s="43"/>
      <c r="H201" s="55"/>
    </row>
    <row r="202" ht="15.75" customHeight="1">
      <c r="C202" s="43"/>
      <c r="G202" s="43"/>
      <c r="H202" s="55"/>
    </row>
    <row r="203" ht="15.75" customHeight="1">
      <c r="C203" s="43"/>
      <c r="G203" s="43"/>
      <c r="H203" s="55"/>
    </row>
    <row r="204" ht="15.75" customHeight="1">
      <c r="C204" s="43"/>
      <c r="G204" s="43"/>
      <c r="H204" s="55"/>
    </row>
    <row r="205" ht="15.75" customHeight="1">
      <c r="C205" s="43"/>
      <c r="G205" s="43"/>
      <c r="H205" s="55"/>
    </row>
    <row r="206" ht="15.75" customHeight="1">
      <c r="C206" s="43"/>
      <c r="G206" s="43"/>
      <c r="H206" s="55"/>
    </row>
    <row r="207" ht="15.75" customHeight="1">
      <c r="C207" s="43"/>
      <c r="G207" s="43"/>
    </row>
    <row r="208" ht="15.75" customHeight="1">
      <c r="C208" s="43"/>
      <c r="G208" s="43"/>
    </row>
    <row r="209" ht="15.75" customHeight="1">
      <c r="C209" s="43"/>
      <c r="G209" s="43"/>
    </row>
    <row r="210" ht="15.75" customHeight="1">
      <c r="C210" s="43"/>
      <c r="G210" s="43"/>
    </row>
    <row r="211" ht="15.75" customHeight="1">
      <c r="C211" s="43"/>
      <c r="G211" s="43"/>
    </row>
    <row r="212" ht="15.75" customHeight="1">
      <c r="C212" s="43"/>
      <c r="G212" s="43"/>
    </row>
    <row r="213" ht="15.75" customHeight="1">
      <c r="C213" s="43"/>
      <c r="G213" s="43"/>
    </row>
    <row r="214" ht="15.75" customHeight="1">
      <c r="C214" s="43"/>
      <c r="G214" s="43"/>
    </row>
    <row r="215" ht="15.75" customHeight="1">
      <c r="C215" s="43"/>
      <c r="G215" s="43"/>
    </row>
    <row r="216" ht="15.75" customHeight="1">
      <c r="C216" s="43"/>
      <c r="G216" s="43"/>
    </row>
    <row r="217" ht="15.75" customHeight="1">
      <c r="C217" s="43"/>
      <c r="G217" s="43"/>
    </row>
    <row r="218" ht="15.75" customHeight="1">
      <c r="C218" s="43"/>
      <c r="G218" s="43"/>
    </row>
    <row r="219" ht="15.75" customHeight="1">
      <c r="C219" s="43"/>
      <c r="G219" s="43"/>
    </row>
    <row r="220" ht="15.75" customHeight="1">
      <c r="C220" s="43"/>
      <c r="G220" s="43"/>
    </row>
    <row r="221" ht="15.75" customHeight="1">
      <c r="C221" s="43"/>
      <c r="G221" s="43"/>
    </row>
    <row r="222" ht="15.75" customHeight="1">
      <c r="C222" s="43"/>
      <c r="G222" s="43"/>
    </row>
    <row r="223" ht="15.75" customHeight="1">
      <c r="C223" s="65"/>
      <c r="G223" s="65"/>
    </row>
    <row r="224" ht="15.75" customHeight="1">
      <c r="C224" s="65"/>
      <c r="G224" s="65"/>
    </row>
    <row r="225" ht="15.75" customHeight="1">
      <c r="C225" s="65"/>
      <c r="G225" s="65"/>
    </row>
    <row r="226" ht="15.75" customHeight="1">
      <c r="C226" s="65"/>
      <c r="G226" s="65"/>
    </row>
    <row r="227" ht="15.75" customHeight="1">
      <c r="C227" s="65"/>
      <c r="G227" s="65"/>
    </row>
    <row r="228" ht="15.75" customHeight="1">
      <c r="C228" s="65"/>
      <c r="G228" s="65"/>
    </row>
    <row r="229" ht="15.75" customHeight="1">
      <c r="C229" s="65"/>
      <c r="G229" s="65"/>
    </row>
    <row r="230" ht="15.75" customHeight="1">
      <c r="C230" s="65"/>
      <c r="G230" s="65"/>
    </row>
    <row r="231" ht="15.75" customHeight="1">
      <c r="C231" s="65"/>
      <c r="G231" s="65"/>
    </row>
    <row r="232" ht="15.75" customHeight="1">
      <c r="C232" s="65"/>
      <c r="G232" s="65"/>
    </row>
    <row r="233" ht="15.75" customHeight="1">
      <c r="C233" s="65"/>
      <c r="G233" s="65"/>
    </row>
    <row r="234" ht="15.75" customHeight="1">
      <c r="C234" s="65"/>
      <c r="G234" s="65"/>
    </row>
    <row r="235" ht="15.75" customHeight="1">
      <c r="C235" s="65"/>
      <c r="G235" s="65"/>
    </row>
    <row r="236" ht="15.75" customHeight="1">
      <c r="C236" s="65"/>
      <c r="G236" s="65"/>
    </row>
    <row r="237" ht="15.75" customHeight="1">
      <c r="C237" s="65"/>
      <c r="G237" s="65"/>
    </row>
    <row r="238" ht="15.75" customHeight="1">
      <c r="C238" s="65"/>
      <c r="G238" s="65"/>
    </row>
    <row r="239" ht="15.75" customHeight="1">
      <c r="C239" s="65"/>
      <c r="G239" s="65"/>
    </row>
    <row r="240" ht="15.75" customHeight="1">
      <c r="C240" s="65"/>
      <c r="G240" s="65"/>
    </row>
    <row r="241" ht="15.75" customHeight="1">
      <c r="C241" s="65"/>
      <c r="G241" s="65"/>
    </row>
    <row r="242" ht="15.75" customHeight="1">
      <c r="C242" s="65"/>
      <c r="G242" s="65"/>
    </row>
    <row r="243" ht="15.75" customHeight="1">
      <c r="C243" s="65"/>
      <c r="G243" s="65"/>
    </row>
    <row r="244" ht="15.75" customHeight="1">
      <c r="C244" s="65"/>
      <c r="G244" s="65"/>
    </row>
    <row r="245" ht="15.75" customHeight="1">
      <c r="C245" s="65"/>
      <c r="G245" s="65"/>
    </row>
    <row r="246" ht="15.75" customHeight="1">
      <c r="C246" s="65"/>
      <c r="G246" s="65"/>
    </row>
    <row r="247" ht="15.75" customHeight="1">
      <c r="C247" s="65"/>
      <c r="G247" s="65"/>
    </row>
    <row r="248" ht="15.75" customHeight="1">
      <c r="C248" s="65"/>
      <c r="G248" s="65"/>
    </row>
    <row r="249" ht="15.75" customHeight="1">
      <c r="C249" s="65"/>
      <c r="G249" s="65"/>
    </row>
    <row r="250" ht="15.75" customHeight="1">
      <c r="C250" s="65"/>
      <c r="G250" s="65"/>
    </row>
    <row r="251" ht="15.75" customHeight="1">
      <c r="C251" s="65"/>
      <c r="G251" s="65"/>
    </row>
    <row r="252" ht="15.75" customHeight="1">
      <c r="C252" s="65"/>
      <c r="G252" s="65"/>
    </row>
    <row r="253" ht="15.75" customHeight="1">
      <c r="C253" s="65"/>
      <c r="G253" s="65"/>
    </row>
    <row r="254" ht="15.75" customHeight="1">
      <c r="C254" s="65"/>
      <c r="G254" s="65"/>
    </row>
    <row r="255" ht="15.75" customHeight="1">
      <c r="C255" s="65"/>
      <c r="G255" s="65"/>
    </row>
    <row r="256" ht="15.75" customHeight="1">
      <c r="C256" s="65"/>
      <c r="G256" s="65"/>
    </row>
    <row r="257" ht="15.75" customHeight="1">
      <c r="C257" s="65"/>
      <c r="G257" s="65"/>
    </row>
    <row r="258" ht="15.75" customHeight="1">
      <c r="C258" s="65"/>
      <c r="G258" s="65"/>
    </row>
    <row r="259" ht="15.75" customHeight="1">
      <c r="C259" s="65"/>
      <c r="G259" s="65"/>
    </row>
    <row r="260" ht="15.75" customHeight="1">
      <c r="C260" s="65"/>
      <c r="G260" s="65"/>
    </row>
    <row r="261" ht="15.75" customHeight="1">
      <c r="C261" s="65"/>
      <c r="G261" s="65"/>
    </row>
    <row r="262" ht="15.75" customHeight="1">
      <c r="C262" s="65"/>
      <c r="G262" s="65"/>
    </row>
    <row r="263" ht="15.75" customHeight="1">
      <c r="C263" s="65"/>
      <c r="G263" s="65"/>
    </row>
    <row r="264" ht="15.75" customHeight="1">
      <c r="C264" s="65"/>
      <c r="G264" s="65"/>
    </row>
    <row r="265" ht="15.75" customHeight="1">
      <c r="C265" s="65"/>
      <c r="G265" s="65"/>
    </row>
    <row r="266" ht="15.75" customHeight="1">
      <c r="C266" s="65"/>
      <c r="G266" s="65"/>
    </row>
    <row r="267" ht="15.75" customHeight="1">
      <c r="C267" s="65"/>
      <c r="G267" s="65"/>
    </row>
    <row r="268" ht="15.75" customHeight="1">
      <c r="C268" s="65"/>
      <c r="G268" s="65"/>
    </row>
    <row r="269" ht="15.75" customHeight="1">
      <c r="C269" s="65"/>
      <c r="G269" s="65"/>
    </row>
    <row r="270" ht="15.75" customHeight="1">
      <c r="C270" s="65"/>
      <c r="G270" s="65"/>
    </row>
    <row r="271" ht="15.75" customHeight="1">
      <c r="C271" s="65"/>
      <c r="G271" s="65"/>
    </row>
    <row r="272" ht="15.75" customHeight="1">
      <c r="C272" s="65"/>
      <c r="G272" s="65"/>
    </row>
    <row r="273" ht="15.75" customHeight="1">
      <c r="C273" s="65"/>
      <c r="G273" s="65"/>
    </row>
    <row r="274" ht="15.75" customHeight="1">
      <c r="C274" s="65"/>
      <c r="G274" s="65"/>
    </row>
    <row r="275" ht="15.75" customHeight="1">
      <c r="C275" s="65"/>
      <c r="G275" s="65"/>
    </row>
    <row r="276" ht="15.75" customHeight="1">
      <c r="C276" s="65"/>
      <c r="G276" s="65"/>
    </row>
    <row r="277" ht="15.75" customHeight="1">
      <c r="C277" s="65"/>
      <c r="G277" s="65"/>
    </row>
    <row r="278" ht="15.75" customHeight="1">
      <c r="C278" s="65"/>
      <c r="G278" s="65"/>
    </row>
    <row r="279" ht="15.75" customHeight="1">
      <c r="C279" s="65"/>
      <c r="G279" s="65"/>
    </row>
    <row r="280" ht="15.75" customHeight="1">
      <c r="C280" s="65"/>
      <c r="G280" s="65"/>
    </row>
    <row r="281" ht="15.75" customHeight="1">
      <c r="C281" s="65"/>
      <c r="G281" s="65"/>
    </row>
    <row r="282" ht="15.75" customHeight="1">
      <c r="C282" s="65"/>
      <c r="G282" s="65"/>
    </row>
    <row r="283" ht="15.75" customHeight="1">
      <c r="C283" s="65"/>
      <c r="G283" s="65"/>
    </row>
    <row r="284" ht="15.75" customHeight="1">
      <c r="C284" s="65"/>
      <c r="G284" s="65"/>
    </row>
    <row r="285" ht="15.75" customHeight="1">
      <c r="C285" s="65"/>
      <c r="G285" s="65"/>
    </row>
    <row r="286" ht="15.75" customHeight="1">
      <c r="C286" s="65"/>
      <c r="G286" s="65"/>
    </row>
    <row r="287" ht="15.75" customHeight="1">
      <c r="C287" s="65"/>
      <c r="G287" s="65"/>
    </row>
    <row r="288" ht="15.75" customHeight="1">
      <c r="C288" s="65"/>
      <c r="G288" s="65"/>
    </row>
    <row r="289" ht="15.75" customHeight="1">
      <c r="C289" s="65"/>
      <c r="G289" s="65"/>
    </row>
    <row r="290" ht="15.75" customHeight="1">
      <c r="C290" s="65"/>
      <c r="G290" s="65"/>
    </row>
    <row r="291" ht="15.75" customHeight="1">
      <c r="C291" s="65"/>
      <c r="G291" s="65"/>
    </row>
    <row r="292" ht="15.75" customHeight="1">
      <c r="C292" s="65"/>
      <c r="G292" s="65"/>
    </row>
    <row r="293" ht="15.75" customHeight="1">
      <c r="C293" s="65"/>
      <c r="G293" s="65"/>
    </row>
    <row r="294" ht="15.75" customHeight="1">
      <c r="C294" s="65"/>
      <c r="G294" s="65"/>
    </row>
    <row r="295" ht="15.75" customHeight="1">
      <c r="C295" s="65"/>
      <c r="G295" s="65"/>
    </row>
    <row r="296" ht="15.75" customHeight="1">
      <c r="C296" s="65"/>
      <c r="G296" s="65"/>
    </row>
    <row r="297" ht="15.75" customHeight="1">
      <c r="C297" s="65"/>
      <c r="G297" s="65"/>
    </row>
    <row r="298" ht="15.75" customHeight="1">
      <c r="C298" s="65"/>
      <c r="G298" s="65"/>
    </row>
    <row r="299" ht="15.75" customHeight="1">
      <c r="C299" s="65"/>
      <c r="G299" s="65"/>
    </row>
    <row r="300" ht="15.75" customHeight="1">
      <c r="C300" s="65"/>
      <c r="G300" s="65"/>
    </row>
    <row r="301" ht="15.75" customHeight="1">
      <c r="C301" s="65"/>
      <c r="G301" s="65"/>
    </row>
    <row r="302" ht="15.75" customHeight="1">
      <c r="C302" s="65"/>
      <c r="G302" s="65"/>
    </row>
    <row r="303" ht="15.75" customHeight="1">
      <c r="C303" s="65"/>
      <c r="G303" s="65"/>
    </row>
    <row r="304" ht="15.75" customHeight="1">
      <c r="C304" s="65"/>
      <c r="G304" s="65"/>
    </row>
    <row r="305" ht="15.75" customHeight="1">
      <c r="C305" s="65"/>
      <c r="G305" s="65"/>
    </row>
    <row r="306" ht="15.75" customHeight="1">
      <c r="C306" s="65"/>
      <c r="G306" s="65"/>
    </row>
    <row r="307" ht="15.75" customHeight="1">
      <c r="C307" s="65"/>
      <c r="G307" s="65"/>
    </row>
    <row r="308" ht="15.75" customHeight="1">
      <c r="C308" s="65"/>
      <c r="G308" s="65"/>
    </row>
    <row r="309" ht="15.75" customHeight="1">
      <c r="C309" s="65"/>
      <c r="G309" s="65"/>
    </row>
    <row r="310" ht="15.75" customHeight="1">
      <c r="C310" s="65"/>
      <c r="G310" s="65"/>
    </row>
    <row r="311" ht="15.75" customHeight="1">
      <c r="C311" s="65"/>
      <c r="G311" s="65"/>
    </row>
    <row r="312" ht="15.75" customHeight="1">
      <c r="C312" s="65"/>
      <c r="G312" s="65"/>
    </row>
    <row r="313" ht="15.75" customHeight="1">
      <c r="C313" s="65"/>
      <c r="G313" s="65"/>
    </row>
    <row r="314" ht="15.75" customHeight="1">
      <c r="C314" s="65"/>
      <c r="G314" s="65"/>
    </row>
    <row r="315" ht="15.75" customHeight="1">
      <c r="C315" s="65"/>
      <c r="G315" s="65"/>
    </row>
    <row r="316" ht="15.75" customHeight="1">
      <c r="C316" s="65"/>
      <c r="G316" s="65"/>
    </row>
    <row r="317" ht="15.75" customHeight="1">
      <c r="C317" s="65"/>
      <c r="G317" s="65"/>
    </row>
    <row r="318" ht="15.75" customHeight="1">
      <c r="C318" s="65"/>
      <c r="G318" s="65"/>
    </row>
    <row r="319" ht="15.75" customHeight="1">
      <c r="C319" s="65"/>
      <c r="G319" s="65"/>
    </row>
    <row r="320" ht="15.75" customHeight="1">
      <c r="C320" s="65"/>
      <c r="G320" s="65"/>
    </row>
    <row r="321" ht="15.75" customHeight="1">
      <c r="C321" s="65"/>
      <c r="G321" s="65"/>
    </row>
    <row r="322" ht="15.75" customHeight="1">
      <c r="C322" s="65"/>
      <c r="G322" s="65"/>
    </row>
    <row r="323" ht="15.75" customHeight="1">
      <c r="C323" s="65"/>
      <c r="G323" s="65"/>
    </row>
    <row r="324" ht="15.75" customHeight="1">
      <c r="C324" s="65"/>
      <c r="G324" s="65"/>
    </row>
    <row r="325" ht="15.75" customHeight="1">
      <c r="C325" s="65"/>
      <c r="G325" s="65"/>
    </row>
    <row r="326" ht="15.75" customHeight="1">
      <c r="C326" s="65"/>
      <c r="G326" s="65"/>
    </row>
    <row r="327" ht="15.75" customHeight="1">
      <c r="C327" s="65"/>
      <c r="G327" s="65"/>
    </row>
    <row r="328" ht="15.75" customHeight="1">
      <c r="C328" s="65"/>
      <c r="G328" s="65"/>
    </row>
    <row r="329" ht="15.75" customHeight="1">
      <c r="C329" s="65"/>
      <c r="G329" s="65"/>
    </row>
    <row r="330" ht="15.75" customHeight="1">
      <c r="C330" s="65"/>
      <c r="G330" s="65"/>
    </row>
    <row r="331" ht="15.75" customHeight="1">
      <c r="C331" s="65"/>
      <c r="G331" s="65"/>
    </row>
    <row r="332" ht="15.75" customHeight="1">
      <c r="C332" s="65"/>
      <c r="G332" s="65"/>
    </row>
    <row r="333" ht="15.75" customHeight="1">
      <c r="C333" s="65"/>
      <c r="G333" s="65"/>
    </row>
    <row r="334" ht="15.75" customHeight="1">
      <c r="C334" s="65"/>
      <c r="G334" s="65"/>
    </row>
    <row r="335" ht="15.75" customHeight="1">
      <c r="C335" s="65"/>
      <c r="G335" s="65"/>
    </row>
    <row r="336" ht="15.75" customHeight="1">
      <c r="C336" s="65"/>
      <c r="G336" s="65"/>
    </row>
    <row r="337" ht="15.75" customHeight="1">
      <c r="C337" s="65"/>
      <c r="G337" s="65"/>
    </row>
    <row r="338" ht="15.75" customHeight="1">
      <c r="C338" s="65"/>
      <c r="G338" s="65"/>
    </row>
    <row r="339" ht="15.75" customHeight="1">
      <c r="C339" s="65"/>
      <c r="G339" s="65"/>
    </row>
    <row r="340" ht="15.75" customHeight="1">
      <c r="C340" s="65"/>
      <c r="G340" s="65"/>
    </row>
    <row r="341" ht="15.75" customHeight="1">
      <c r="C341" s="65"/>
      <c r="G341" s="65"/>
    </row>
    <row r="342" ht="15.75" customHeight="1">
      <c r="C342" s="65"/>
      <c r="G342" s="65"/>
    </row>
    <row r="343" ht="15.75" customHeight="1">
      <c r="C343" s="65"/>
      <c r="G343" s="65"/>
    </row>
    <row r="344" ht="15.75" customHeight="1">
      <c r="C344" s="65"/>
      <c r="G344" s="65"/>
    </row>
    <row r="345" ht="15.75" customHeight="1">
      <c r="C345" s="65"/>
      <c r="G345" s="65"/>
    </row>
    <row r="346" ht="15.75" customHeight="1">
      <c r="C346" s="65"/>
      <c r="G346" s="65"/>
    </row>
    <row r="347" ht="15.75" customHeight="1">
      <c r="C347" s="65"/>
      <c r="G347" s="65"/>
    </row>
    <row r="348" ht="15.75" customHeight="1">
      <c r="C348" s="65"/>
      <c r="G348" s="65"/>
    </row>
    <row r="349" ht="15.75" customHeight="1">
      <c r="C349" s="65"/>
      <c r="G349" s="65"/>
    </row>
    <row r="350" ht="15.75" customHeight="1">
      <c r="C350" s="65"/>
      <c r="G350" s="65"/>
    </row>
    <row r="351" ht="15.75" customHeight="1">
      <c r="C351" s="65"/>
      <c r="G351" s="65"/>
    </row>
    <row r="352" ht="15.75" customHeight="1">
      <c r="C352" s="65"/>
      <c r="G352" s="65"/>
    </row>
    <row r="353" ht="15.75" customHeight="1">
      <c r="C353" s="65"/>
      <c r="G353" s="65"/>
    </row>
    <row r="354" ht="15.75" customHeight="1">
      <c r="C354" s="65"/>
      <c r="G354" s="65"/>
    </row>
    <row r="355" ht="15.75" customHeight="1">
      <c r="C355" s="65"/>
      <c r="G355" s="65"/>
    </row>
    <row r="356" ht="15.75" customHeight="1">
      <c r="C356" s="65"/>
      <c r="G356" s="65"/>
    </row>
    <row r="357" ht="15.75" customHeight="1">
      <c r="C357" s="65"/>
      <c r="G357" s="65"/>
    </row>
    <row r="358" ht="15.75" customHeight="1">
      <c r="C358" s="65"/>
      <c r="G358" s="65"/>
    </row>
    <row r="359" ht="15.75" customHeight="1">
      <c r="C359" s="65"/>
      <c r="G359" s="65"/>
    </row>
    <row r="360" ht="15.75" customHeight="1">
      <c r="C360" s="65"/>
      <c r="G360" s="65"/>
    </row>
    <row r="361" ht="15.75" customHeight="1">
      <c r="C361" s="65"/>
      <c r="G361" s="65"/>
    </row>
    <row r="362" ht="15.75" customHeight="1">
      <c r="C362" s="65"/>
      <c r="G362" s="65"/>
    </row>
    <row r="363" ht="15.75" customHeight="1">
      <c r="C363" s="65"/>
      <c r="G363" s="65"/>
    </row>
    <row r="364" ht="15.75" customHeight="1">
      <c r="C364" s="65"/>
      <c r="G364" s="65"/>
    </row>
    <row r="365" ht="15.75" customHeight="1">
      <c r="C365" s="65"/>
      <c r="G365" s="65"/>
    </row>
    <row r="366" ht="15.75" customHeight="1">
      <c r="C366" s="65"/>
      <c r="G366" s="65"/>
    </row>
    <row r="367" ht="15.75" customHeight="1">
      <c r="C367" s="65"/>
      <c r="G367" s="65"/>
    </row>
    <row r="368" ht="15.75" customHeight="1">
      <c r="C368" s="65"/>
      <c r="G368" s="65"/>
    </row>
    <row r="369" ht="15.75" customHeight="1">
      <c r="C369" s="65"/>
      <c r="G369" s="65"/>
    </row>
    <row r="370" ht="15.75" customHeight="1">
      <c r="C370" s="65"/>
      <c r="G370" s="65"/>
    </row>
    <row r="371" ht="15.75" customHeight="1">
      <c r="C371" s="65"/>
      <c r="G371" s="65"/>
    </row>
    <row r="372" ht="15.75" customHeight="1">
      <c r="C372" s="65"/>
      <c r="G372" s="65"/>
    </row>
    <row r="373" ht="15.75" customHeight="1">
      <c r="C373" s="65"/>
      <c r="G373" s="65"/>
    </row>
    <row r="374" ht="15.75" customHeight="1">
      <c r="C374" s="65"/>
      <c r="G374" s="65"/>
    </row>
    <row r="375" ht="15.75" customHeight="1">
      <c r="C375" s="65"/>
      <c r="G375" s="65"/>
    </row>
    <row r="376" ht="15.75" customHeight="1">
      <c r="C376" s="65"/>
      <c r="G376" s="65"/>
    </row>
    <row r="377" ht="15.75" customHeight="1">
      <c r="C377" s="65"/>
      <c r="G377" s="65"/>
    </row>
    <row r="378" ht="15.75" customHeight="1">
      <c r="C378" s="65"/>
      <c r="G378" s="65"/>
    </row>
    <row r="379" ht="15.75" customHeight="1">
      <c r="C379" s="65"/>
      <c r="G379" s="65"/>
    </row>
    <row r="380" ht="15.75" customHeight="1">
      <c r="C380" s="65"/>
      <c r="G380" s="65"/>
    </row>
    <row r="381" ht="15.75" customHeight="1">
      <c r="C381" s="65"/>
      <c r="G381" s="65"/>
    </row>
    <row r="382" ht="15.75" customHeight="1">
      <c r="C382" s="65"/>
      <c r="G382" s="65"/>
    </row>
    <row r="383" ht="15.75" customHeight="1">
      <c r="C383" s="65"/>
      <c r="G383" s="65"/>
    </row>
    <row r="384" ht="15.75" customHeight="1">
      <c r="C384" s="65"/>
      <c r="G384" s="65"/>
    </row>
    <row r="385" ht="15.75" customHeight="1">
      <c r="C385" s="65"/>
      <c r="G385" s="65"/>
    </row>
    <row r="386" ht="15.75" customHeight="1">
      <c r="C386" s="65"/>
      <c r="G386" s="65"/>
    </row>
    <row r="387" ht="15.75" customHeight="1">
      <c r="C387" s="65"/>
      <c r="G387" s="65"/>
    </row>
    <row r="388" ht="15.75" customHeight="1">
      <c r="C388" s="65"/>
      <c r="G388" s="65"/>
    </row>
    <row r="389" ht="15.75" customHeight="1">
      <c r="C389" s="65"/>
      <c r="G389" s="65"/>
    </row>
    <row r="390" ht="15.75" customHeight="1">
      <c r="C390" s="65"/>
      <c r="G390" s="65"/>
    </row>
    <row r="391" ht="15.75" customHeight="1">
      <c r="C391" s="65"/>
      <c r="G391" s="65"/>
    </row>
    <row r="392" ht="15.75" customHeight="1">
      <c r="C392" s="65"/>
      <c r="G392" s="65"/>
    </row>
    <row r="393" ht="15.75" customHeight="1">
      <c r="C393" s="65"/>
      <c r="G393" s="65"/>
    </row>
    <row r="394" ht="15.75" customHeight="1">
      <c r="C394" s="65"/>
      <c r="G394" s="65"/>
    </row>
    <row r="395" ht="15.75" customHeight="1">
      <c r="C395" s="65"/>
      <c r="G395" s="65"/>
    </row>
    <row r="396" ht="15.75" customHeight="1">
      <c r="C396" s="65"/>
      <c r="G396" s="65"/>
    </row>
    <row r="397" ht="15.75" customHeight="1">
      <c r="C397" s="65"/>
      <c r="G397" s="65"/>
    </row>
    <row r="398" ht="15.75" customHeight="1">
      <c r="C398" s="65"/>
      <c r="G398" s="65"/>
    </row>
    <row r="399" ht="15.75" customHeight="1">
      <c r="C399" s="65"/>
      <c r="G399" s="65"/>
    </row>
    <row r="400" ht="15.75" customHeight="1">
      <c r="C400" s="65"/>
      <c r="G400" s="65"/>
    </row>
    <row r="401" ht="15.75" customHeight="1">
      <c r="C401" s="65"/>
      <c r="G401" s="65"/>
    </row>
    <row r="402" ht="15.75" customHeight="1">
      <c r="C402" s="65"/>
      <c r="G402" s="65"/>
    </row>
    <row r="403" ht="15.75" customHeight="1">
      <c r="C403" s="65"/>
      <c r="G403" s="65"/>
    </row>
    <row r="404" ht="15.75" customHeight="1">
      <c r="C404" s="65"/>
      <c r="G404" s="65"/>
    </row>
    <row r="405" ht="15.75" customHeight="1">
      <c r="C405" s="65"/>
      <c r="G405" s="65"/>
    </row>
    <row r="406" ht="15.75" customHeight="1">
      <c r="C406" s="65"/>
      <c r="G406" s="65"/>
    </row>
    <row r="407" ht="15.75" customHeight="1">
      <c r="C407" s="65"/>
      <c r="G407" s="65"/>
    </row>
    <row r="408" ht="15.75" customHeight="1">
      <c r="C408" s="65"/>
      <c r="G408" s="65"/>
    </row>
    <row r="409" ht="15.75" customHeight="1">
      <c r="C409" s="65"/>
      <c r="G409" s="65"/>
    </row>
    <row r="410" ht="15.75" customHeight="1">
      <c r="C410" s="65"/>
      <c r="G410" s="65"/>
    </row>
    <row r="411" ht="15.75" customHeight="1">
      <c r="C411" s="65"/>
      <c r="G411" s="65"/>
    </row>
    <row r="412" ht="15.75" customHeight="1">
      <c r="C412" s="65"/>
      <c r="G412" s="65"/>
    </row>
    <row r="413" ht="15.75" customHeight="1">
      <c r="C413" s="65"/>
      <c r="G413" s="65"/>
    </row>
    <row r="414" ht="15.75" customHeight="1">
      <c r="C414" s="65"/>
      <c r="G414" s="65"/>
    </row>
    <row r="415" ht="15.75" customHeight="1">
      <c r="C415" s="65"/>
      <c r="G415" s="65"/>
    </row>
    <row r="416" ht="15.75" customHeight="1">
      <c r="C416" s="65"/>
      <c r="G416" s="65"/>
    </row>
    <row r="417" ht="15.75" customHeight="1">
      <c r="C417" s="65"/>
      <c r="G417" s="65"/>
    </row>
    <row r="418" ht="15.75" customHeight="1">
      <c r="C418" s="65"/>
      <c r="G418" s="65"/>
    </row>
    <row r="419" ht="15.75" customHeight="1">
      <c r="C419" s="65"/>
      <c r="G419" s="65"/>
    </row>
    <row r="420" ht="15.75" customHeight="1">
      <c r="C420" s="65"/>
      <c r="G420" s="65"/>
    </row>
    <row r="421" ht="15.75" customHeight="1">
      <c r="C421" s="65"/>
      <c r="G421" s="65"/>
    </row>
    <row r="422" ht="15.75" customHeight="1">
      <c r="C422" s="65"/>
      <c r="G422" s="65"/>
    </row>
    <row r="423" ht="15.75" customHeight="1">
      <c r="C423" s="65"/>
      <c r="G423" s="65"/>
    </row>
    <row r="424" ht="15.75" customHeight="1">
      <c r="C424" s="65"/>
      <c r="G424" s="65"/>
    </row>
    <row r="425" ht="15.75" customHeight="1">
      <c r="C425" s="65"/>
      <c r="G425" s="65"/>
    </row>
    <row r="426" ht="15.75" customHeight="1">
      <c r="C426" s="65"/>
      <c r="G426" s="65"/>
    </row>
    <row r="427" ht="15.75" customHeight="1">
      <c r="C427" s="65"/>
      <c r="G427" s="65"/>
    </row>
    <row r="428" ht="15.75" customHeight="1">
      <c r="C428" s="65"/>
      <c r="G428" s="65"/>
    </row>
    <row r="429" ht="15.75" customHeight="1">
      <c r="C429" s="65"/>
      <c r="G429" s="65"/>
    </row>
    <row r="430" ht="15.75" customHeight="1">
      <c r="C430" s="65"/>
      <c r="G430" s="65"/>
    </row>
    <row r="431" ht="15.75" customHeight="1">
      <c r="C431" s="65"/>
      <c r="G431" s="65"/>
    </row>
    <row r="432" ht="15.75" customHeight="1">
      <c r="C432" s="65"/>
      <c r="G432" s="65"/>
    </row>
    <row r="433" ht="15.75" customHeight="1">
      <c r="C433" s="65"/>
      <c r="G433" s="65"/>
    </row>
    <row r="434" ht="15.75" customHeight="1">
      <c r="C434" s="65"/>
      <c r="G434" s="65"/>
    </row>
    <row r="435" ht="15.75" customHeight="1">
      <c r="C435" s="65"/>
      <c r="G435" s="65"/>
    </row>
    <row r="436" ht="15.75" customHeight="1">
      <c r="C436" s="65"/>
      <c r="G436" s="65"/>
    </row>
    <row r="437" ht="15.75" customHeight="1">
      <c r="C437" s="65"/>
      <c r="G437" s="65"/>
    </row>
    <row r="438" ht="15.75" customHeight="1">
      <c r="C438" s="65"/>
      <c r="G438" s="65"/>
    </row>
    <row r="439" ht="15.75" customHeight="1">
      <c r="C439" s="65"/>
      <c r="G439" s="65"/>
    </row>
    <row r="440" ht="15.75" customHeight="1">
      <c r="C440" s="65"/>
      <c r="G440" s="65"/>
    </row>
    <row r="441" ht="15.75" customHeight="1">
      <c r="C441" s="65"/>
      <c r="G441" s="65"/>
    </row>
    <row r="442" ht="15.75" customHeight="1">
      <c r="C442" s="65"/>
      <c r="G442" s="65"/>
    </row>
    <row r="443" ht="15.75" customHeight="1">
      <c r="C443" s="65"/>
      <c r="G443" s="65"/>
    </row>
    <row r="444" ht="15.75" customHeight="1">
      <c r="C444" s="65"/>
      <c r="G444" s="65"/>
    </row>
    <row r="445" ht="15.75" customHeight="1">
      <c r="C445" s="65"/>
      <c r="G445" s="65"/>
    </row>
    <row r="446" ht="15.75" customHeight="1">
      <c r="C446" s="65"/>
      <c r="G446" s="65"/>
    </row>
    <row r="447" ht="15.75" customHeight="1">
      <c r="C447" s="65"/>
      <c r="G447" s="65"/>
    </row>
    <row r="448" ht="15.75" customHeight="1">
      <c r="C448" s="65"/>
      <c r="G448" s="65"/>
    </row>
    <row r="449" ht="15.75" customHeight="1">
      <c r="C449" s="65"/>
      <c r="G449" s="65"/>
    </row>
    <row r="450" ht="15.75" customHeight="1">
      <c r="C450" s="65"/>
      <c r="G450" s="65"/>
    </row>
    <row r="451" ht="15.75" customHeight="1">
      <c r="C451" s="65"/>
      <c r="G451" s="65"/>
    </row>
    <row r="452" ht="15.75" customHeight="1">
      <c r="C452" s="65"/>
      <c r="G452" s="65"/>
    </row>
    <row r="453" ht="15.75" customHeight="1">
      <c r="C453" s="65"/>
      <c r="G453" s="65"/>
    </row>
    <row r="454" ht="15.75" customHeight="1">
      <c r="C454" s="65"/>
      <c r="G454" s="65"/>
    </row>
    <row r="455" ht="15.75" customHeight="1">
      <c r="C455" s="65"/>
      <c r="G455" s="65"/>
    </row>
    <row r="456" ht="15.75" customHeight="1">
      <c r="C456" s="65"/>
      <c r="G456" s="65"/>
    </row>
    <row r="457" ht="15.75" customHeight="1">
      <c r="C457" s="65"/>
      <c r="G457" s="65"/>
    </row>
    <row r="458" ht="15.75" customHeight="1">
      <c r="C458" s="65"/>
      <c r="G458" s="65"/>
    </row>
    <row r="459" ht="15.75" customHeight="1">
      <c r="C459" s="65"/>
      <c r="G459" s="65"/>
    </row>
    <row r="460" ht="15.75" customHeight="1">
      <c r="C460" s="65"/>
      <c r="G460" s="65"/>
    </row>
    <row r="461" ht="15.75" customHeight="1">
      <c r="C461" s="65"/>
      <c r="G461" s="65"/>
    </row>
    <row r="462" ht="15.75" customHeight="1">
      <c r="C462" s="65"/>
      <c r="G462" s="65"/>
    </row>
    <row r="463" ht="15.75" customHeight="1">
      <c r="C463" s="65"/>
      <c r="G463" s="65"/>
    </row>
    <row r="464" ht="15.75" customHeight="1">
      <c r="C464" s="65"/>
      <c r="G464" s="65"/>
    </row>
    <row r="465" ht="15.75" customHeight="1">
      <c r="C465" s="65"/>
      <c r="G465" s="65"/>
    </row>
    <row r="466" ht="15.75" customHeight="1">
      <c r="C466" s="65"/>
      <c r="G466" s="65"/>
    </row>
    <row r="467" ht="15.75" customHeight="1">
      <c r="C467" s="65"/>
      <c r="G467" s="65"/>
    </row>
    <row r="468" ht="15.75" customHeight="1">
      <c r="C468" s="65"/>
      <c r="G468" s="65"/>
    </row>
    <row r="469" ht="15.75" customHeight="1">
      <c r="C469" s="65"/>
      <c r="G469" s="65"/>
    </row>
    <row r="470" ht="15.75" customHeight="1">
      <c r="C470" s="65"/>
      <c r="G470" s="65"/>
    </row>
    <row r="471" ht="15.75" customHeight="1">
      <c r="C471" s="65"/>
      <c r="G471" s="65"/>
    </row>
    <row r="472" ht="15.75" customHeight="1">
      <c r="C472" s="65"/>
      <c r="G472" s="65"/>
    </row>
    <row r="473" ht="15.75" customHeight="1">
      <c r="C473" s="65"/>
      <c r="G473" s="65"/>
    </row>
    <row r="474" ht="15.75" customHeight="1">
      <c r="C474" s="65"/>
      <c r="G474" s="65"/>
    </row>
    <row r="475" ht="15.75" customHeight="1">
      <c r="C475" s="65"/>
      <c r="G475" s="65"/>
    </row>
    <row r="476" ht="15.75" customHeight="1">
      <c r="C476" s="65"/>
      <c r="G476" s="65"/>
    </row>
    <row r="477" ht="15.75" customHeight="1">
      <c r="C477" s="65"/>
      <c r="G477" s="65"/>
    </row>
    <row r="478" ht="15.75" customHeight="1">
      <c r="C478" s="65"/>
      <c r="G478" s="65"/>
    </row>
    <row r="479" ht="15.75" customHeight="1">
      <c r="C479" s="65"/>
      <c r="G479" s="65"/>
    </row>
    <row r="480" ht="15.75" customHeight="1">
      <c r="C480" s="65"/>
      <c r="G480" s="65"/>
    </row>
    <row r="481" ht="15.75" customHeight="1">
      <c r="C481" s="65"/>
      <c r="G481" s="65"/>
    </row>
    <row r="482" ht="15.75" customHeight="1">
      <c r="C482" s="65"/>
      <c r="G482" s="65"/>
    </row>
    <row r="483" ht="15.75" customHeight="1">
      <c r="C483" s="65"/>
      <c r="G483" s="65"/>
    </row>
    <row r="484" ht="15.75" customHeight="1">
      <c r="C484" s="65"/>
      <c r="G484" s="65"/>
    </row>
    <row r="485" ht="15.75" customHeight="1">
      <c r="C485" s="65"/>
      <c r="G485" s="65"/>
    </row>
    <row r="486" ht="15.75" customHeight="1">
      <c r="C486" s="65"/>
      <c r="G486" s="65"/>
    </row>
    <row r="487" ht="15.75" customHeight="1">
      <c r="C487" s="65"/>
      <c r="G487" s="65"/>
    </row>
    <row r="488" ht="15.75" customHeight="1">
      <c r="C488" s="65"/>
      <c r="G488" s="65"/>
    </row>
    <row r="489" ht="15.75" customHeight="1">
      <c r="C489" s="65"/>
      <c r="G489" s="65"/>
    </row>
    <row r="490" ht="15.75" customHeight="1">
      <c r="C490" s="65"/>
      <c r="G490" s="65"/>
    </row>
    <row r="491" ht="15.75" customHeight="1">
      <c r="C491" s="65"/>
      <c r="G491" s="65"/>
    </row>
    <row r="492" ht="15.75" customHeight="1">
      <c r="C492" s="65"/>
      <c r="G492" s="65"/>
    </row>
    <row r="493" ht="15.75" customHeight="1">
      <c r="C493" s="65"/>
      <c r="G493" s="65"/>
    </row>
    <row r="494" ht="15.75" customHeight="1">
      <c r="C494" s="65"/>
      <c r="G494" s="65"/>
    </row>
    <row r="495" ht="15.75" customHeight="1">
      <c r="C495" s="65"/>
      <c r="G495" s="65"/>
    </row>
    <row r="496" ht="15.75" customHeight="1">
      <c r="C496" s="65"/>
      <c r="G496" s="65"/>
    </row>
    <row r="497" ht="15.75" customHeight="1">
      <c r="C497" s="65"/>
      <c r="G497" s="65"/>
    </row>
    <row r="498" ht="15.75" customHeight="1">
      <c r="C498" s="65"/>
      <c r="G498" s="65"/>
    </row>
    <row r="499" ht="15.75" customHeight="1">
      <c r="C499" s="65"/>
      <c r="G499" s="65"/>
    </row>
    <row r="500" ht="15.75" customHeight="1">
      <c r="C500" s="65"/>
      <c r="G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conditionalFormatting sqref="G7:G1000">
    <cfRule type="expression" dxfId="5" priority="1">
      <formula>G7="Отримано"</formula>
    </cfRule>
  </conditionalFormatting>
  <conditionalFormatting sqref="G7:G1000">
    <cfRule type="expression" dxfId="1" priority="2">
      <formula>G7="Запитано"</formula>
    </cfRule>
  </conditionalFormatting>
  <dataValidations>
    <dataValidation type="list" allowBlank="1" sqref="C7:C500">
      <formula1>"Dev,Stage,Prod,—"</formula1>
    </dataValidation>
    <dataValidation type="list" allowBlank="1" sqref="G7:G500">
      <formula1>"Не запитано,Запитано,Отримано,Не потрібно,Відкликано"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5" width="40.0"/>
    <col customWidth="1" min="6" max="6" width="7.0"/>
    <col customWidth="1" min="7" max="7" width="30.0"/>
  </cols>
  <sheetData>
    <row r="1">
      <c r="A1" s="1" t="s">
        <v>172</v>
      </c>
    </row>
    <row r="2" ht="48.0" customHeight="1">
      <c r="A2" s="2" t="s">
        <v>288</v>
      </c>
    </row>
    <row r="4" ht="30.0" customHeight="1">
      <c r="A4" s="4" t="s">
        <v>72</v>
      </c>
      <c r="B4" s="4" t="s">
        <v>291</v>
      </c>
      <c r="C4" s="4" t="s">
        <v>294</v>
      </c>
      <c r="D4" s="4" t="s">
        <v>295</v>
      </c>
      <c r="E4" s="4" t="s">
        <v>296</v>
      </c>
      <c r="F4" s="4" t="s">
        <v>297</v>
      </c>
      <c r="G4" s="4" t="s">
        <v>299</v>
      </c>
    </row>
    <row r="5">
      <c r="A5" s="45" t="s">
        <v>103</v>
      </c>
      <c r="B5" s="27" t="s">
        <v>253</v>
      </c>
      <c r="C5" s="27" t="s">
        <v>300</v>
      </c>
      <c r="D5" s="27" t="s">
        <v>301</v>
      </c>
      <c r="E5" s="27"/>
      <c r="F5" s="27">
        <v>7.0</v>
      </c>
      <c r="G5" s="27" t="s">
        <v>302</v>
      </c>
    </row>
    <row r="6">
      <c r="A6" s="51"/>
      <c r="B6" s="29"/>
      <c r="C6" s="29"/>
      <c r="D6" s="29"/>
      <c r="E6" s="29"/>
      <c r="F6" s="29"/>
      <c r="G6" s="29"/>
    </row>
    <row r="7">
      <c r="A7" s="51"/>
      <c r="B7" s="29"/>
      <c r="C7" s="29"/>
      <c r="D7" s="29"/>
      <c r="E7" s="29"/>
      <c r="F7" s="29"/>
      <c r="G7" s="29"/>
    </row>
    <row r="8">
      <c r="A8" s="51"/>
      <c r="B8" s="29"/>
      <c r="C8" s="29"/>
      <c r="D8" s="29"/>
      <c r="E8" s="29"/>
      <c r="F8" s="29"/>
      <c r="G8" s="29"/>
    </row>
    <row r="9">
      <c r="A9" s="51"/>
      <c r="B9" s="29"/>
      <c r="C9" s="29"/>
      <c r="D9" s="29"/>
      <c r="E9" s="29"/>
      <c r="F9" s="29"/>
      <c r="G9" s="29"/>
    </row>
    <row r="10">
      <c r="A10" s="51"/>
      <c r="B10" s="29"/>
      <c r="C10" s="29"/>
      <c r="D10" s="29"/>
      <c r="E10" s="29"/>
      <c r="F10" s="29"/>
      <c r="G10" s="29"/>
    </row>
    <row r="11">
      <c r="A11" s="51"/>
      <c r="B11" s="29"/>
      <c r="C11" s="29"/>
      <c r="D11" s="29"/>
      <c r="E11" s="29"/>
      <c r="F11" s="29"/>
      <c r="G11" s="29"/>
    </row>
    <row r="12">
      <c r="A12" s="51"/>
      <c r="B12" s="29"/>
      <c r="C12" s="29"/>
      <c r="D12" s="29"/>
      <c r="E12" s="29"/>
      <c r="F12" s="29"/>
      <c r="G12" s="29"/>
    </row>
    <row r="13">
      <c r="A13" s="51"/>
      <c r="B13" s="29"/>
      <c r="C13" s="29"/>
      <c r="D13" s="29"/>
      <c r="E13" s="29"/>
      <c r="F13" s="29"/>
      <c r="G13" s="29"/>
    </row>
    <row r="14">
      <c r="A14" s="51"/>
      <c r="B14" s="29"/>
      <c r="C14" s="29"/>
      <c r="D14" s="29"/>
      <c r="E14" s="29"/>
      <c r="F14" s="29"/>
      <c r="G14" s="29"/>
    </row>
    <row r="15">
      <c r="A15" s="51"/>
      <c r="B15" s="29"/>
      <c r="C15" s="29"/>
      <c r="D15" s="29"/>
      <c r="E15" s="29"/>
      <c r="F15" s="29"/>
      <c r="G15" s="29"/>
    </row>
    <row r="16">
      <c r="A16" s="51"/>
      <c r="B16" s="29"/>
      <c r="C16" s="29"/>
      <c r="D16" s="29"/>
      <c r="E16" s="29"/>
      <c r="F16" s="29"/>
      <c r="G16" s="29"/>
    </row>
    <row r="17">
      <c r="A17" s="51"/>
      <c r="B17" s="29"/>
      <c r="C17" s="29"/>
      <c r="D17" s="29"/>
      <c r="E17" s="29"/>
      <c r="F17" s="29"/>
      <c r="G17" s="29"/>
    </row>
    <row r="18">
      <c r="A18" s="51"/>
      <c r="B18" s="29"/>
      <c r="C18" s="29"/>
      <c r="D18" s="29"/>
      <c r="E18" s="29"/>
      <c r="F18" s="29"/>
      <c r="G18" s="29"/>
    </row>
    <row r="19">
      <c r="A19" s="51"/>
      <c r="B19" s="29"/>
      <c r="C19" s="29"/>
      <c r="D19" s="29"/>
      <c r="E19" s="29"/>
      <c r="F19" s="29"/>
      <c r="G19" s="29"/>
    </row>
    <row r="20">
      <c r="A20" s="51"/>
      <c r="B20" s="29"/>
      <c r="C20" s="29"/>
      <c r="D20" s="29"/>
      <c r="E20" s="29"/>
      <c r="F20" s="29"/>
      <c r="G20" s="29"/>
    </row>
    <row r="21" ht="15.75" customHeight="1">
      <c r="A21" s="51"/>
      <c r="B21" s="29"/>
      <c r="C21" s="29"/>
      <c r="D21" s="29"/>
      <c r="E21" s="29"/>
      <c r="F21" s="29"/>
      <c r="G21" s="29"/>
    </row>
    <row r="22" ht="15.75" customHeight="1">
      <c r="A22" s="51"/>
      <c r="B22" s="29"/>
      <c r="C22" s="29"/>
      <c r="D22" s="29"/>
      <c r="E22" s="29"/>
      <c r="F22" s="29"/>
      <c r="G22" s="29"/>
    </row>
    <row r="23" ht="15.75" customHeight="1">
      <c r="A23" s="51"/>
      <c r="B23" s="29"/>
      <c r="C23" s="29"/>
      <c r="D23" s="29"/>
      <c r="E23" s="29"/>
      <c r="F23" s="29"/>
      <c r="G23" s="29"/>
    </row>
    <row r="24" ht="15.75" customHeight="1">
      <c r="A24" s="51"/>
      <c r="B24" s="29"/>
      <c r="C24" s="29"/>
      <c r="D24" s="29"/>
      <c r="E24" s="29"/>
      <c r="F24" s="29"/>
      <c r="G24" s="29"/>
    </row>
    <row r="25" ht="15.75" customHeight="1">
      <c r="A25" s="51"/>
      <c r="B25" s="29"/>
      <c r="C25" s="29"/>
      <c r="D25" s="29"/>
      <c r="E25" s="29"/>
      <c r="F25" s="29"/>
      <c r="G25" s="29"/>
    </row>
    <row r="26" ht="15.75" customHeight="1">
      <c r="A26" s="51"/>
      <c r="B26" s="29"/>
      <c r="C26" s="29"/>
      <c r="D26" s="29"/>
      <c r="E26" s="29"/>
      <c r="F26" s="29"/>
      <c r="G26" s="29"/>
    </row>
    <row r="27" ht="15.75" customHeight="1">
      <c r="A27" s="51"/>
      <c r="B27" s="29"/>
      <c r="C27" s="29"/>
      <c r="D27" s="29"/>
      <c r="E27" s="29"/>
      <c r="F27" s="29"/>
      <c r="G27" s="29"/>
    </row>
    <row r="28" ht="15.75" customHeight="1">
      <c r="A28" s="51"/>
      <c r="B28" s="29"/>
      <c r="C28" s="29"/>
      <c r="D28" s="29"/>
      <c r="E28" s="29"/>
      <c r="F28" s="29"/>
      <c r="G28" s="29"/>
    </row>
    <row r="29" ht="15.75" customHeight="1">
      <c r="A29" s="51"/>
      <c r="B29" s="29"/>
      <c r="C29" s="29"/>
      <c r="D29" s="29"/>
      <c r="E29" s="29"/>
      <c r="F29" s="29"/>
      <c r="G29" s="29"/>
    </row>
    <row r="30" ht="15.75" customHeight="1">
      <c r="A30" s="51"/>
      <c r="B30" s="29"/>
      <c r="C30" s="29"/>
      <c r="D30" s="29"/>
      <c r="E30" s="29"/>
      <c r="F30" s="29"/>
      <c r="G30" s="29"/>
    </row>
    <row r="31" ht="15.75" customHeight="1">
      <c r="A31" s="55"/>
    </row>
    <row r="32" ht="15.75" customHeight="1">
      <c r="A32" s="55"/>
    </row>
    <row r="33" ht="15.75" customHeight="1">
      <c r="A33" s="55"/>
    </row>
    <row r="34" ht="15.75" customHeight="1">
      <c r="A34" s="55"/>
    </row>
    <row r="35" ht="15.75" customHeight="1">
      <c r="A35" s="55"/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2.0"/>
    <col customWidth="1" min="3" max="3" width="11.0"/>
    <col customWidth="1" min="4" max="4" width="40.0"/>
    <col customWidth="1" min="5" max="5" width="30.0"/>
    <col customWidth="1" min="6" max="6" width="36.0"/>
    <col customWidth="1" min="7" max="8" width="30.0"/>
    <col customWidth="1" min="9" max="10" width="10.0"/>
    <col customWidth="1" min="11" max="11" width="12.0"/>
  </cols>
  <sheetData>
    <row r="1">
      <c r="A1" s="1" t="s">
        <v>175</v>
      </c>
    </row>
    <row r="2" ht="48.0" customHeight="1">
      <c r="A2" s="2" t="s">
        <v>303</v>
      </c>
    </row>
    <row r="4" ht="30.0" customHeight="1">
      <c r="A4" s="4" t="s">
        <v>304</v>
      </c>
      <c r="B4" s="4" t="s">
        <v>305</v>
      </c>
      <c r="C4" s="4" t="s">
        <v>306</v>
      </c>
      <c r="D4" s="4" t="s">
        <v>307</v>
      </c>
      <c r="E4" s="4" t="s">
        <v>308</v>
      </c>
      <c r="F4" s="4" t="s">
        <v>309</v>
      </c>
      <c r="G4" s="4" t="s">
        <v>310</v>
      </c>
      <c r="H4" s="4" t="s">
        <v>311</v>
      </c>
      <c r="I4" s="4" t="s">
        <v>312</v>
      </c>
      <c r="J4" s="4" t="s">
        <v>313</v>
      </c>
      <c r="K4" s="4" t="s">
        <v>314</v>
      </c>
    </row>
    <row r="5">
      <c r="A5" s="45" t="s">
        <v>315</v>
      </c>
      <c r="B5" s="45" t="s">
        <v>316</v>
      </c>
      <c r="C5" s="27" t="s">
        <v>317</v>
      </c>
      <c r="D5" s="27" t="s">
        <v>318</v>
      </c>
      <c r="E5" s="27" t="s">
        <v>319</v>
      </c>
      <c r="F5" s="27" t="s">
        <v>320</v>
      </c>
      <c r="G5" s="27" t="s">
        <v>321</v>
      </c>
      <c r="H5" s="27" t="s">
        <v>322</v>
      </c>
      <c r="I5" s="27">
        <v>78.0</v>
      </c>
      <c r="J5" s="27">
        <f t="shared" ref="J5:J204" si="1">IF(I5="","",SUM($I$5:I5))</f>
        <v>78</v>
      </c>
      <c r="K5" s="45" t="s">
        <v>316</v>
      </c>
    </row>
    <row r="6">
      <c r="A6" s="51"/>
      <c r="B6" s="51"/>
      <c r="C6" s="29"/>
      <c r="D6" s="29"/>
      <c r="E6" s="29"/>
      <c r="F6" s="29"/>
      <c r="G6" s="29"/>
      <c r="H6" s="29"/>
      <c r="I6" s="29"/>
      <c r="J6" s="29" t="str">
        <f t="shared" si="1"/>
        <v/>
      </c>
      <c r="K6" s="51"/>
    </row>
    <row r="7">
      <c r="A7" s="51"/>
      <c r="B7" s="51"/>
      <c r="C7" s="29"/>
      <c r="D7" s="29"/>
      <c r="E7" s="29"/>
      <c r="F7" s="29"/>
      <c r="G7" s="29"/>
      <c r="H7" s="29"/>
      <c r="I7" s="29"/>
      <c r="J7" s="29" t="str">
        <f t="shared" si="1"/>
        <v/>
      </c>
      <c r="K7" s="51"/>
    </row>
    <row r="8">
      <c r="A8" s="51"/>
      <c r="B8" s="51"/>
      <c r="C8" s="29"/>
      <c r="D8" s="29"/>
      <c r="E8" s="29"/>
      <c r="F8" s="29"/>
      <c r="G8" s="29"/>
      <c r="H8" s="29"/>
      <c r="I8" s="29"/>
      <c r="J8" s="29" t="str">
        <f t="shared" si="1"/>
        <v/>
      </c>
      <c r="K8" s="51"/>
    </row>
    <row r="9">
      <c r="A9" s="51"/>
      <c r="B9" s="51"/>
      <c r="C9" s="29"/>
      <c r="D9" s="29"/>
      <c r="E9" s="29"/>
      <c r="F9" s="29"/>
      <c r="G9" s="29"/>
      <c r="H9" s="29"/>
      <c r="I9" s="29"/>
      <c r="J9" s="29" t="str">
        <f t="shared" si="1"/>
        <v/>
      </c>
      <c r="K9" s="51"/>
    </row>
    <row r="10">
      <c r="A10" s="51"/>
      <c r="B10" s="51"/>
      <c r="C10" s="29"/>
      <c r="D10" s="29"/>
      <c r="E10" s="29"/>
      <c r="F10" s="29"/>
      <c r="G10" s="29"/>
      <c r="H10" s="29"/>
      <c r="I10" s="29"/>
      <c r="J10" s="29" t="str">
        <f t="shared" si="1"/>
        <v/>
      </c>
      <c r="K10" s="51"/>
    </row>
    <row r="11">
      <c r="A11" s="51"/>
      <c r="B11" s="51"/>
      <c r="C11" s="29"/>
      <c r="D11" s="29"/>
      <c r="E11" s="29"/>
      <c r="F11" s="29"/>
      <c r="G11" s="29"/>
      <c r="H11" s="29"/>
      <c r="I11" s="29"/>
      <c r="J11" s="29" t="str">
        <f t="shared" si="1"/>
        <v/>
      </c>
      <c r="K11" s="51"/>
    </row>
    <row r="12">
      <c r="A12" s="51"/>
      <c r="B12" s="51"/>
      <c r="C12" s="29"/>
      <c r="D12" s="29"/>
      <c r="E12" s="29"/>
      <c r="F12" s="29"/>
      <c r="G12" s="29"/>
      <c r="H12" s="29"/>
      <c r="I12" s="29"/>
      <c r="J12" s="29" t="str">
        <f t="shared" si="1"/>
        <v/>
      </c>
      <c r="K12" s="51"/>
    </row>
    <row r="13">
      <c r="A13" s="51"/>
      <c r="B13" s="51"/>
      <c r="C13" s="29"/>
      <c r="D13" s="29"/>
      <c r="E13" s="29"/>
      <c r="F13" s="29"/>
      <c r="G13" s="29"/>
      <c r="H13" s="29"/>
      <c r="I13" s="29"/>
      <c r="J13" s="29" t="str">
        <f t="shared" si="1"/>
        <v/>
      </c>
      <c r="K13" s="51"/>
    </row>
    <row r="14">
      <c r="A14" s="51"/>
      <c r="B14" s="51"/>
      <c r="C14" s="29"/>
      <c r="D14" s="29"/>
      <c r="E14" s="29"/>
      <c r="F14" s="29"/>
      <c r="G14" s="29"/>
      <c r="H14" s="29"/>
      <c r="I14" s="29"/>
      <c r="J14" s="29" t="str">
        <f t="shared" si="1"/>
        <v/>
      </c>
      <c r="K14" s="51"/>
    </row>
    <row r="15">
      <c r="A15" s="51"/>
      <c r="B15" s="51"/>
      <c r="C15" s="29"/>
      <c r="D15" s="29"/>
      <c r="E15" s="29"/>
      <c r="F15" s="29"/>
      <c r="G15" s="29"/>
      <c r="H15" s="29"/>
      <c r="I15" s="29"/>
      <c r="J15" s="29" t="str">
        <f t="shared" si="1"/>
        <v/>
      </c>
      <c r="K15" s="51"/>
    </row>
    <row r="16">
      <c r="A16" s="51"/>
      <c r="B16" s="51"/>
      <c r="C16" s="29"/>
      <c r="D16" s="29"/>
      <c r="E16" s="29"/>
      <c r="F16" s="29"/>
      <c r="G16" s="29"/>
      <c r="H16" s="29"/>
      <c r="I16" s="29"/>
      <c r="J16" s="29" t="str">
        <f t="shared" si="1"/>
        <v/>
      </c>
      <c r="K16" s="51"/>
    </row>
    <row r="17">
      <c r="A17" s="51"/>
      <c r="B17" s="51"/>
      <c r="C17" s="29"/>
      <c r="D17" s="29"/>
      <c r="E17" s="29"/>
      <c r="F17" s="29"/>
      <c r="G17" s="29"/>
      <c r="H17" s="29"/>
      <c r="I17" s="29"/>
      <c r="J17" s="29" t="str">
        <f t="shared" si="1"/>
        <v/>
      </c>
      <c r="K17" s="51"/>
    </row>
    <row r="18">
      <c r="A18" s="51"/>
      <c r="B18" s="51"/>
      <c r="C18" s="29"/>
      <c r="D18" s="29"/>
      <c r="E18" s="29"/>
      <c r="F18" s="29"/>
      <c r="G18" s="29"/>
      <c r="H18" s="29"/>
      <c r="I18" s="29"/>
      <c r="J18" s="29" t="str">
        <f t="shared" si="1"/>
        <v/>
      </c>
      <c r="K18" s="51"/>
    </row>
    <row r="19">
      <c r="A19" s="51"/>
      <c r="B19" s="51"/>
      <c r="C19" s="29"/>
      <c r="D19" s="29"/>
      <c r="E19" s="29"/>
      <c r="F19" s="29"/>
      <c r="G19" s="29"/>
      <c r="H19" s="29"/>
      <c r="I19" s="29"/>
      <c r="J19" s="29" t="str">
        <f t="shared" si="1"/>
        <v/>
      </c>
      <c r="K19" s="51"/>
    </row>
    <row r="20">
      <c r="A20" s="51"/>
      <c r="B20" s="51"/>
      <c r="C20" s="29"/>
      <c r="D20" s="29"/>
      <c r="E20" s="29"/>
      <c r="F20" s="29"/>
      <c r="G20" s="29"/>
      <c r="H20" s="29"/>
      <c r="I20" s="29"/>
      <c r="J20" s="29" t="str">
        <f t="shared" si="1"/>
        <v/>
      </c>
      <c r="K20" s="51"/>
    </row>
    <row r="21" ht="15.75" customHeight="1">
      <c r="A21" s="51"/>
      <c r="B21" s="51"/>
      <c r="C21" s="29"/>
      <c r="D21" s="29"/>
      <c r="E21" s="29"/>
      <c r="F21" s="29"/>
      <c r="G21" s="29"/>
      <c r="H21" s="29"/>
      <c r="I21" s="29"/>
      <c r="J21" s="29" t="str">
        <f t="shared" si="1"/>
        <v/>
      </c>
      <c r="K21" s="51"/>
    </row>
    <row r="22" ht="15.75" customHeight="1">
      <c r="A22" s="51"/>
      <c r="B22" s="51"/>
      <c r="C22" s="29"/>
      <c r="D22" s="29"/>
      <c r="E22" s="29"/>
      <c r="F22" s="29"/>
      <c r="G22" s="29"/>
      <c r="H22" s="29"/>
      <c r="I22" s="29"/>
      <c r="J22" s="29" t="str">
        <f t="shared" si="1"/>
        <v/>
      </c>
      <c r="K22" s="51"/>
    </row>
    <row r="23" ht="15.75" customHeight="1">
      <c r="A23" s="51"/>
      <c r="B23" s="51"/>
      <c r="C23" s="29"/>
      <c r="D23" s="29"/>
      <c r="E23" s="29"/>
      <c r="F23" s="29"/>
      <c r="G23" s="29"/>
      <c r="H23" s="29"/>
      <c r="I23" s="29"/>
      <c r="J23" s="29" t="str">
        <f t="shared" si="1"/>
        <v/>
      </c>
      <c r="K23" s="51"/>
    </row>
    <row r="24" ht="15.75" customHeight="1">
      <c r="A24" s="51"/>
      <c r="B24" s="51"/>
      <c r="C24" s="29"/>
      <c r="D24" s="29"/>
      <c r="E24" s="29"/>
      <c r="F24" s="29"/>
      <c r="G24" s="29"/>
      <c r="H24" s="29"/>
      <c r="I24" s="29"/>
      <c r="J24" s="29" t="str">
        <f t="shared" si="1"/>
        <v/>
      </c>
      <c r="K24" s="51"/>
    </row>
    <row r="25" ht="15.75" customHeight="1">
      <c r="A25" s="51"/>
      <c r="B25" s="51"/>
      <c r="C25" s="29"/>
      <c r="D25" s="29"/>
      <c r="E25" s="29"/>
      <c r="F25" s="29"/>
      <c r="G25" s="29"/>
      <c r="H25" s="29"/>
      <c r="I25" s="29"/>
      <c r="J25" s="29" t="str">
        <f t="shared" si="1"/>
        <v/>
      </c>
      <c r="K25" s="51"/>
    </row>
    <row r="26" ht="15.75" customHeight="1">
      <c r="A26" s="51"/>
      <c r="B26" s="51"/>
      <c r="C26" s="29"/>
      <c r="D26" s="29"/>
      <c r="E26" s="29"/>
      <c r="F26" s="29"/>
      <c r="G26" s="29"/>
      <c r="H26" s="29"/>
      <c r="I26" s="29"/>
      <c r="J26" s="29" t="str">
        <f t="shared" si="1"/>
        <v/>
      </c>
      <c r="K26" s="51"/>
    </row>
    <row r="27" ht="15.75" customHeight="1">
      <c r="A27" s="51"/>
      <c r="B27" s="51"/>
      <c r="C27" s="29"/>
      <c r="D27" s="29"/>
      <c r="E27" s="29"/>
      <c r="F27" s="29"/>
      <c r="G27" s="29"/>
      <c r="H27" s="29"/>
      <c r="I27" s="29"/>
      <c r="J27" s="29" t="str">
        <f t="shared" si="1"/>
        <v/>
      </c>
      <c r="K27" s="51"/>
    </row>
    <row r="28" ht="15.75" customHeight="1">
      <c r="A28" s="51"/>
      <c r="B28" s="51"/>
      <c r="C28" s="29"/>
      <c r="D28" s="29"/>
      <c r="E28" s="29"/>
      <c r="F28" s="29"/>
      <c r="G28" s="29"/>
      <c r="H28" s="29"/>
      <c r="I28" s="29"/>
      <c r="J28" s="29" t="str">
        <f t="shared" si="1"/>
        <v/>
      </c>
      <c r="K28" s="51"/>
    </row>
    <row r="29" ht="15.75" customHeight="1">
      <c r="A29" s="51"/>
      <c r="B29" s="51"/>
      <c r="C29" s="29"/>
      <c r="D29" s="29"/>
      <c r="E29" s="29"/>
      <c r="F29" s="29"/>
      <c r="G29" s="29"/>
      <c r="H29" s="29"/>
      <c r="I29" s="29"/>
      <c r="J29" s="29" t="str">
        <f t="shared" si="1"/>
        <v/>
      </c>
      <c r="K29" s="51"/>
    </row>
    <row r="30" ht="15.75" customHeight="1">
      <c r="A30" s="51"/>
      <c r="B30" s="51"/>
      <c r="C30" s="29"/>
      <c r="D30" s="29"/>
      <c r="E30" s="29"/>
      <c r="F30" s="29"/>
      <c r="G30" s="29"/>
      <c r="H30" s="29"/>
      <c r="I30" s="29"/>
      <c r="J30" s="29" t="str">
        <f t="shared" si="1"/>
        <v/>
      </c>
      <c r="K30" s="51"/>
    </row>
    <row r="31" ht="15.75" customHeight="1">
      <c r="A31" s="55"/>
      <c r="B31" s="55"/>
      <c r="C31" s="43"/>
      <c r="J31" s="43" t="str">
        <f t="shared" si="1"/>
        <v/>
      </c>
      <c r="K31" s="55"/>
    </row>
    <row r="32" ht="15.75" customHeight="1">
      <c r="A32" s="55"/>
      <c r="B32" s="55"/>
      <c r="C32" s="43"/>
      <c r="J32" s="43" t="str">
        <f t="shared" si="1"/>
        <v/>
      </c>
      <c r="K32" s="55"/>
    </row>
    <row r="33" ht="15.75" customHeight="1">
      <c r="A33" s="55"/>
      <c r="B33" s="55"/>
      <c r="C33" s="43"/>
      <c r="J33" s="43" t="str">
        <f t="shared" si="1"/>
        <v/>
      </c>
      <c r="K33" s="55"/>
    </row>
    <row r="34" ht="15.75" customHeight="1">
      <c r="A34" s="55"/>
      <c r="B34" s="55"/>
      <c r="C34" s="43"/>
      <c r="J34" s="43" t="str">
        <f t="shared" si="1"/>
        <v/>
      </c>
      <c r="K34" s="55"/>
    </row>
    <row r="35" ht="15.75" customHeight="1">
      <c r="A35" s="55"/>
      <c r="B35" s="55"/>
      <c r="C35" s="43"/>
      <c r="J35" s="43" t="str">
        <f t="shared" si="1"/>
        <v/>
      </c>
      <c r="K35" s="55"/>
    </row>
    <row r="36" ht="15.75" customHeight="1">
      <c r="A36" s="55"/>
      <c r="B36" s="55"/>
      <c r="C36" s="43"/>
      <c r="J36" s="43" t="str">
        <f t="shared" si="1"/>
        <v/>
      </c>
      <c r="K36" s="55"/>
    </row>
    <row r="37" ht="15.75" customHeight="1">
      <c r="A37" s="55"/>
      <c r="B37" s="55"/>
      <c r="C37" s="43"/>
      <c r="J37" s="43" t="str">
        <f t="shared" si="1"/>
        <v/>
      </c>
      <c r="K37" s="55"/>
    </row>
    <row r="38" ht="15.75" customHeight="1">
      <c r="A38" s="55"/>
      <c r="B38" s="55"/>
      <c r="C38" s="43"/>
      <c r="J38" s="43" t="str">
        <f t="shared" si="1"/>
        <v/>
      </c>
      <c r="K38" s="55"/>
    </row>
    <row r="39" ht="15.75" customHeight="1">
      <c r="A39" s="55"/>
      <c r="B39" s="55"/>
      <c r="C39" s="43"/>
      <c r="J39" s="43" t="str">
        <f t="shared" si="1"/>
        <v/>
      </c>
      <c r="K39" s="55"/>
    </row>
    <row r="40" ht="15.75" customHeight="1">
      <c r="A40" s="55"/>
      <c r="B40" s="55"/>
      <c r="C40" s="43"/>
      <c r="J40" s="43" t="str">
        <f t="shared" si="1"/>
        <v/>
      </c>
      <c r="K40" s="55"/>
    </row>
    <row r="41" ht="15.75" customHeight="1">
      <c r="A41" s="55"/>
      <c r="B41" s="55"/>
      <c r="C41" s="43"/>
      <c r="J41" s="43" t="str">
        <f t="shared" si="1"/>
        <v/>
      </c>
      <c r="K41" s="55"/>
    </row>
    <row r="42" ht="15.75" customHeight="1">
      <c r="A42" s="55"/>
      <c r="B42" s="55"/>
      <c r="C42" s="43"/>
      <c r="J42" s="43" t="str">
        <f t="shared" si="1"/>
        <v/>
      </c>
      <c r="K42" s="55"/>
    </row>
    <row r="43" ht="15.75" customHeight="1">
      <c r="A43" s="55"/>
      <c r="B43" s="55"/>
      <c r="C43" s="43"/>
      <c r="J43" s="43" t="str">
        <f t="shared" si="1"/>
        <v/>
      </c>
      <c r="K43" s="55"/>
    </row>
    <row r="44" ht="15.75" customHeight="1">
      <c r="A44" s="55"/>
      <c r="B44" s="55"/>
      <c r="C44" s="43"/>
      <c r="J44" s="43" t="str">
        <f t="shared" si="1"/>
        <v/>
      </c>
      <c r="K44" s="55"/>
    </row>
    <row r="45" ht="15.75" customHeight="1">
      <c r="A45" s="55"/>
      <c r="B45" s="55"/>
      <c r="C45" s="43"/>
      <c r="J45" s="43" t="str">
        <f t="shared" si="1"/>
        <v/>
      </c>
      <c r="K45" s="55"/>
    </row>
    <row r="46" ht="15.75" customHeight="1">
      <c r="A46" s="55"/>
      <c r="B46" s="55"/>
      <c r="C46" s="43"/>
      <c r="J46" s="43" t="str">
        <f t="shared" si="1"/>
        <v/>
      </c>
      <c r="K46" s="55"/>
    </row>
    <row r="47" ht="15.75" customHeight="1">
      <c r="A47" s="55"/>
      <c r="B47" s="55"/>
      <c r="C47" s="43"/>
      <c r="J47" s="43" t="str">
        <f t="shared" si="1"/>
        <v/>
      </c>
      <c r="K47" s="55"/>
    </row>
    <row r="48" ht="15.75" customHeight="1">
      <c r="A48" s="55"/>
      <c r="B48" s="55"/>
      <c r="C48" s="43"/>
      <c r="J48" s="43" t="str">
        <f t="shared" si="1"/>
        <v/>
      </c>
      <c r="K48" s="55"/>
    </row>
    <row r="49" ht="15.75" customHeight="1">
      <c r="A49" s="55"/>
      <c r="B49" s="55"/>
      <c r="C49" s="43"/>
      <c r="J49" s="43" t="str">
        <f t="shared" si="1"/>
        <v/>
      </c>
      <c r="K49" s="55"/>
    </row>
    <row r="50" ht="15.75" customHeight="1">
      <c r="A50" s="55"/>
      <c r="B50" s="55"/>
      <c r="C50" s="43"/>
      <c r="J50" s="43" t="str">
        <f t="shared" si="1"/>
        <v/>
      </c>
      <c r="K50" s="55"/>
    </row>
    <row r="51" ht="15.75" customHeight="1">
      <c r="A51" s="55"/>
      <c r="B51" s="55"/>
      <c r="C51" s="43"/>
      <c r="J51" s="43" t="str">
        <f t="shared" si="1"/>
        <v/>
      </c>
      <c r="K51" s="55"/>
    </row>
    <row r="52" ht="15.75" customHeight="1">
      <c r="A52" s="55"/>
      <c r="B52" s="55"/>
      <c r="C52" s="43"/>
      <c r="J52" s="43" t="str">
        <f t="shared" si="1"/>
        <v/>
      </c>
      <c r="K52" s="55"/>
    </row>
    <row r="53" ht="15.75" customHeight="1">
      <c r="A53" s="55"/>
      <c r="B53" s="55"/>
      <c r="C53" s="43"/>
      <c r="J53" s="43" t="str">
        <f t="shared" si="1"/>
        <v/>
      </c>
      <c r="K53" s="55"/>
    </row>
    <row r="54" ht="15.75" customHeight="1">
      <c r="A54" s="55"/>
      <c r="B54" s="55"/>
      <c r="C54" s="43"/>
      <c r="J54" s="43" t="str">
        <f t="shared" si="1"/>
        <v/>
      </c>
      <c r="K54" s="55"/>
    </row>
    <row r="55" ht="15.75" customHeight="1">
      <c r="A55" s="55"/>
      <c r="B55" s="55"/>
      <c r="C55" s="43"/>
      <c r="J55" s="43" t="str">
        <f t="shared" si="1"/>
        <v/>
      </c>
      <c r="K55" s="55"/>
    </row>
    <row r="56" ht="15.75" customHeight="1">
      <c r="A56" s="55"/>
      <c r="B56" s="55"/>
      <c r="C56" s="43"/>
      <c r="J56" s="43" t="str">
        <f t="shared" si="1"/>
        <v/>
      </c>
      <c r="K56" s="55"/>
    </row>
    <row r="57" ht="15.75" customHeight="1">
      <c r="A57" s="55"/>
      <c r="B57" s="55"/>
      <c r="C57" s="43"/>
      <c r="J57" s="43" t="str">
        <f t="shared" si="1"/>
        <v/>
      </c>
      <c r="K57" s="55"/>
    </row>
    <row r="58" ht="15.75" customHeight="1">
      <c r="A58" s="55"/>
      <c r="B58" s="55"/>
      <c r="C58" s="43"/>
      <c r="J58" s="43" t="str">
        <f t="shared" si="1"/>
        <v/>
      </c>
      <c r="K58" s="55"/>
    </row>
    <row r="59" ht="15.75" customHeight="1">
      <c r="A59" s="55"/>
      <c r="B59" s="55"/>
      <c r="C59" s="43"/>
      <c r="J59" s="43" t="str">
        <f t="shared" si="1"/>
        <v/>
      </c>
      <c r="K59" s="55"/>
    </row>
    <row r="60" ht="15.75" customHeight="1">
      <c r="A60" s="55"/>
      <c r="B60" s="55"/>
      <c r="C60" s="43"/>
      <c r="J60" s="43" t="str">
        <f t="shared" si="1"/>
        <v/>
      </c>
      <c r="K60" s="55"/>
    </row>
    <row r="61" ht="15.75" customHeight="1">
      <c r="A61" s="55"/>
      <c r="B61" s="55"/>
      <c r="C61" s="43"/>
      <c r="J61" s="43" t="str">
        <f t="shared" si="1"/>
        <v/>
      </c>
      <c r="K61" s="55"/>
    </row>
    <row r="62" ht="15.75" customHeight="1">
      <c r="A62" s="55"/>
      <c r="B62" s="55"/>
      <c r="C62" s="43"/>
      <c r="J62" s="43" t="str">
        <f t="shared" si="1"/>
        <v/>
      </c>
      <c r="K62" s="55"/>
    </row>
    <row r="63" ht="15.75" customHeight="1">
      <c r="A63" s="55"/>
      <c r="B63" s="55"/>
      <c r="C63" s="43"/>
      <c r="J63" s="43" t="str">
        <f t="shared" si="1"/>
        <v/>
      </c>
      <c r="K63" s="55"/>
    </row>
    <row r="64" ht="15.75" customHeight="1">
      <c r="A64" s="55"/>
      <c r="B64" s="55"/>
      <c r="C64" s="43"/>
      <c r="J64" s="43" t="str">
        <f t="shared" si="1"/>
        <v/>
      </c>
      <c r="K64" s="55"/>
    </row>
    <row r="65" ht="15.75" customHeight="1">
      <c r="A65" s="55"/>
      <c r="B65" s="55"/>
      <c r="C65" s="43"/>
      <c r="J65" s="43" t="str">
        <f t="shared" si="1"/>
        <v/>
      </c>
      <c r="K65" s="55"/>
    </row>
    <row r="66" ht="15.75" customHeight="1">
      <c r="A66" s="55"/>
      <c r="B66" s="55"/>
      <c r="C66" s="43"/>
      <c r="J66" s="43" t="str">
        <f t="shared" si="1"/>
        <v/>
      </c>
      <c r="K66" s="55"/>
    </row>
    <row r="67" ht="15.75" customHeight="1">
      <c r="A67" s="55"/>
      <c r="B67" s="55"/>
      <c r="C67" s="43"/>
      <c r="J67" s="43" t="str">
        <f t="shared" si="1"/>
        <v/>
      </c>
      <c r="K67" s="55"/>
    </row>
    <row r="68" ht="15.75" customHeight="1">
      <c r="A68" s="55"/>
      <c r="B68" s="55"/>
      <c r="C68" s="43"/>
      <c r="J68" s="43" t="str">
        <f t="shared" si="1"/>
        <v/>
      </c>
      <c r="K68" s="55"/>
    </row>
    <row r="69" ht="15.75" customHeight="1">
      <c r="A69" s="55"/>
      <c r="B69" s="55"/>
      <c r="C69" s="43"/>
      <c r="J69" s="43" t="str">
        <f t="shared" si="1"/>
        <v/>
      </c>
      <c r="K69" s="55"/>
    </row>
    <row r="70" ht="15.75" customHeight="1">
      <c r="A70" s="55"/>
      <c r="B70" s="55"/>
      <c r="C70" s="43"/>
      <c r="J70" s="43" t="str">
        <f t="shared" si="1"/>
        <v/>
      </c>
      <c r="K70" s="55"/>
    </row>
    <row r="71" ht="15.75" customHeight="1">
      <c r="A71" s="55"/>
      <c r="B71" s="55"/>
      <c r="C71" s="43"/>
      <c r="J71" s="43" t="str">
        <f t="shared" si="1"/>
        <v/>
      </c>
      <c r="K71" s="55"/>
    </row>
    <row r="72" ht="15.75" customHeight="1">
      <c r="A72" s="55"/>
      <c r="B72" s="55"/>
      <c r="C72" s="43"/>
      <c r="J72" s="43" t="str">
        <f t="shared" si="1"/>
        <v/>
      </c>
      <c r="K72" s="55"/>
    </row>
    <row r="73" ht="15.75" customHeight="1">
      <c r="A73" s="55"/>
      <c r="B73" s="55"/>
      <c r="C73" s="43"/>
      <c r="J73" s="43" t="str">
        <f t="shared" si="1"/>
        <v/>
      </c>
      <c r="K73" s="55"/>
    </row>
    <row r="74" ht="15.75" customHeight="1">
      <c r="A74" s="55"/>
      <c r="B74" s="55"/>
      <c r="C74" s="43"/>
      <c r="J74" s="43" t="str">
        <f t="shared" si="1"/>
        <v/>
      </c>
      <c r="K74" s="55"/>
    </row>
    <row r="75" ht="15.75" customHeight="1">
      <c r="A75" s="55"/>
      <c r="B75" s="55"/>
      <c r="C75" s="43"/>
      <c r="J75" s="43" t="str">
        <f t="shared" si="1"/>
        <v/>
      </c>
      <c r="K75" s="55"/>
    </row>
    <row r="76" ht="15.75" customHeight="1">
      <c r="A76" s="55"/>
      <c r="B76" s="55"/>
      <c r="C76" s="43"/>
      <c r="J76" s="43" t="str">
        <f t="shared" si="1"/>
        <v/>
      </c>
      <c r="K76" s="55"/>
    </row>
    <row r="77" ht="15.75" customHeight="1">
      <c r="A77" s="55"/>
      <c r="B77" s="55"/>
      <c r="C77" s="43"/>
      <c r="J77" s="43" t="str">
        <f t="shared" si="1"/>
        <v/>
      </c>
      <c r="K77" s="55"/>
    </row>
    <row r="78" ht="15.75" customHeight="1">
      <c r="A78" s="55"/>
      <c r="B78" s="55"/>
      <c r="C78" s="43"/>
      <c r="J78" s="43" t="str">
        <f t="shared" si="1"/>
        <v/>
      </c>
      <c r="K78" s="55"/>
    </row>
    <row r="79" ht="15.75" customHeight="1">
      <c r="A79" s="55"/>
      <c r="B79" s="55"/>
      <c r="C79" s="43"/>
      <c r="J79" s="43" t="str">
        <f t="shared" si="1"/>
        <v/>
      </c>
      <c r="K79" s="55"/>
    </row>
    <row r="80" ht="15.75" customHeight="1">
      <c r="A80" s="55"/>
      <c r="B80" s="55"/>
      <c r="C80" s="43"/>
      <c r="J80" s="43" t="str">
        <f t="shared" si="1"/>
        <v/>
      </c>
      <c r="K80" s="55"/>
    </row>
    <row r="81" ht="15.75" customHeight="1">
      <c r="A81" s="55"/>
      <c r="B81" s="55"/>
      <c r="C81" s="43"/>
      <c r="J81" s="43" t="str">
        <f t="shared" si="1"/>
        <v/>
      </c>
      <c r="K81" s="55"/>
    </row>
    <row r="82" ht="15.75" customHeight="1">
      <c r="A82" s="55"/>
      <c r="B82" s="55"/>
      <c r="C82" s="43"/>
      <c r="J82" s="43" t="str">
        <f t="shared" si="1"/>
        <v/>
      </c>
      <c r="K82" s="55"/>
    </row>
    <row r="83" ht="15.75" customHeight="1">
      <c r="A83" s="55"/>
      <c r="B83" s="55"/>
      <c r="C83" s="43"/>
      <c r="J83" s="43" t="str">
        <f t="shared" si="1"/>
        <v/>
      </c>
      <c r="K83" s="55"/>
    </row>
    <row r="84" ht="15.75" customHeight="1">
      <c r="A84" s="55"/>
      <c r="B84" s="55"/>
      <c r="C84" s="43"/>
      <c r="J84" s="43" t="str">
        <f t="shared" si="1"/>
        <v/>
      </c>
      <c r="K84" s="55"/>
    </row>
    <row r="85" ht="15.75" customHeight="1">
      <c r="A85" s="55"/>
      <c r="B85" s="55"/>
      <c r="C85" s="43"/>
      <c r="J85" s="43" t="str">
        <f t="shared" si="1"/>
        <v/>
      </c>
      <c r="K85" s="55"/>
    </row>
    <row r="86" ht="15.75" customHeight="1">
      <c r="A86" s="55"/>
      <c r="B86" s="55"/>
      <c r="C86" s="43"/>
      <c r="J86" s="43" t="str">
        <f t="shared" si="1"/>
        <v/>
      </c>
      <c r="K86" s="55"/>
    </row>
    <row r="87" ht="15.75" customHeight="1">
      <c r="A87" s="55"/>
      <c r="B87" s="55"/>
      <c r="C87" s="43"/>
      <c r="J87" s="43" t="str">
        <f t="shared" si="1"/>
        <v/>
      </c>
      <c r="K87" s="55"/>
    </row>
    <row r="88" ht="15.75" customHeight="1">
      <c r="A88" s="55"/>
      <c r="B88" s="55"/>
      <c r="C88" s="43"/>
      <c r="J88" s="43" t="str">
        <f t="shared" si="1"/>
        <v/>
      </c>
      <c r="K88" s="55"/>
    </row>
    <row r="89" ht="15.75" customHeight="1">
      <c r="A89" s="55"/>
      <c r="B89" s="55"/>
      <c r="C89" s="43"/>
      <c r="J89" s="43" t="str">
        <f t="shared" si="1"/>
        <v/>
      </c>
      <c r="K89" s="55"/>
    </row>
    <row r="90" ht="15.75" customHeight="1">
      <c r="A90" s="55"/>
      <c r="B90" s="55"/>
      <c r="C90" s="43"/>
      <c r="J90" s="43" t="str">
        <f t="shared" si="1"/>
        <v/>
      </c>
      <c r="K90" s="55"/>
    </row>
    <row r="91" ht="15.75" customHeight="1">
      <c r="A91" s="55"/>
      <c r="B91" s="55"/>
      <c r="C91" s="43"/>
      <c r="J91" s="43" t="str">
        <f t="shared" si="1"/>
        <v/>
      </c>
      <c r="K91" s="55"/>
    </row>
    <row r="92" ht="15.75" customHeight="1">
      <c r="A92" s="55"/>
      <c r="B92" s="55"/>
      <c r="C92" s="43"/>
      <c r="J92" s="43" t="str">
        <f t="shared" si="1"/>
        <v/>
      </c>
      <c r="K92" s="55"/>
    </row>
    <row r="93" ht="15.75" customHeight="1">
      <c r="A93" s="55"/>
      <c r="B93" s="55"/>
      <c r="C93" s="43"/>
      <c r="J93" s="43" t="str">
        <f t="shared" si="1"/>
        <v/>
      </c>
      <c r="K93" s="55"/>
    </row>
    <row r="94" ht="15.75" customHeight="1">
      <c r="A94" s="55"/>
      <c r="B94" s="55"/>
      <c r="C94" s="43"/>
      <c r="J94" s="43" t="str">
        <f t="shared" si="1"/>
        <v/>
      </c>
      <c r="K94" s="55"/>
    </row>
    <row r="95" ht="15.75" customHeight="1">
      <c r="A95" s="55"/>
      <c r="B95" s="55"/>
      <c r="C95" s="43"/>
      <c r="J95" s="43" t="str">
        <f t="shared" si="1"/>
        <v/>
      </c>
      <c r="K95" s="55"/>
    </row>
    <row r="96" ht="15.75" customHeight="1">
      <c r="A96" s="55"/>
      <c r="B96" s="55"/>
      <c r="C96" s="43"/>
      <c r="J96" s="43" t="str">
        <f t="shared" si="1"/>
        <v/>
      </c>
      <c r="K96" s="55"/>
    </row>
    <row r="97" ht="15.75" customHeight="1">
      <c r="A97" s="55"/>
      <c r="B97" s="55"/>
      <c r="C97" s="43"/>
      <c r="J97" s="43" t="str">
        <f t="shared" si="1"/>
        <v/>
      </c>
      <c r="K97" s="55"/>
    </row>
    <row r="98" ht="15.75" customHeight="1">
      <c r="A98" s="55"/>
      <c r="B98" s="55"/>
      <c r="C98" s="43"/>
      <c r="J98" s="43" t="str">
        <f t="shared" si="1"/>
        <v/>
      </c>
      <c r="K98" s="55"/>
    </row>
    <row r="99" ht="15.75" customHeight="1">
      <c r="A99" s="55"/>
      <c r="B99" s="55"/>
      <c r="C99" s="43"/>
      <c r="J99" s="43" t="str">
        <f t="shared" si="1"/>
        <v/>
      </c>
      <c r="K99" s="55"/>
    </row>
    <row r="100" ht="15.75" customHeight="1">
      <c r="A100" s="55"/>
      <c r="B100" s="55"/>
      <c r="C100" s="43"/>
      <c r="J100" s="43" t="str">
        <f t="shared" si="1"/>
        <v/>
      </c>
      <c r="K100" s="55"/>
    </row>
    <row r="101" ht="15.75" customHeight="1">
      <c r="A101" s="55"/>
      <c r="B101" s="55"/>
      <c r="C101" s="43"/>
      <c r="J101" s="43" t="str">
        <f t="shared" si="1"/>
        <v/>
      </c>
      <c r="K101" s="55"/>
    </row>
    <row r="102" ht="15.75" customHeight="1">
      <c r="A102" s="55"/>
      <c r="B102" s="55"/>
      <c r="C102" s="43"/>
      <c r="J102" s="43" t="str">
        <f t="shared" si="1"/>
        <v/>
      </c>
      <c r="K102" s="55"/>
    </row>
    <row r="103" ht="15.75" customHeight="1">
      <c r="A103" s="55"/>
      <c r="B103" s="55"/>
      <c r="C103" s="43"/>
      <c r="J103" s="43" t="str">
        <f t="shared" si="1"/>
        <v/>
      </c>
      <c r="K103" s="55"/>
    </row>
    <row r="104" ht="15.75" customHeight="1">
      <c r="A104" s="55"/>
      <c r="B104" s="55"/>
      <c r="C104" s="43"/>
      <c r="J104" s="43" t="str">
        <f t="shared" si="1"/>
        <v/>
      </c>
      <c r="K104" s="55"/>
    </row>
    <row r="105" ht="15.75" customHeight="1">
      <c r="A105" s="55"/>
      <c r="B105" s="55"/>
      <c r="C105" s="43"/>
      <c r="J105" s="43" t="str">
        <f t="shared" si="1"/>
        <v/>
      </c>
      <c r="K105" s="55"/>
    </row>
    <row r="106" ht="15.75" customHeight="1">
      <c r="A106" s="55"/>
      <c r="B106" s="55"/>
      <c r="C106" s="43"/>
      <c r="J106" s="43" t="str">
        <f t="shared" si="1"/>
        <v/>
      </c>
      <c r="K106" s="55"/>
    </row>
    <row r="107" ht="15.75" customHeight="1">
      <c r="A107" s="55"/>
      <c r="B107" s="55"/>
      <c r="C107" s="43"/>
      <c r="J107" s="43" t="str">
        <f t="shared" si="1"/>
        <v/>
      </c>
      <c r="K107" s="55"/>
    </row>
    <row r="108" ht="15.75" customHeight="1">
      <c r="A108" s="55"/>
      <c r="B108" s="55"/>
      <c r="C108" s="43"/>
      <c r="J108" s="43" t="str">
        <f t="shared" si="1"/>
        <v/>
      </c>
      <c r="K108" s="55"/>
    </row>
    <row r="109" ht="15.75" customHeight="1">
      <c r="A109" s="55"/>
      <c r="B109" s="55"/>
      <c r="C109" s="43"/>
      <c r="J109" s="43" t="str">
        <f t="shared" si="1"/>
        <v/>
      </c>
      <c r="K109" s="55"/>
    </row>
    <row r="110" ht="15.75" customHeight="1">
      <c r="A110" s="55"/>
      <c r="B110" s="55"/>
      <c r="C110" s="43"/>
      <c r="J110" s="43" t="str">
        <f t="shared" si="1"/>
        <v/>
      </c>
      <c r="K110" s="55"/>
    </row>
    <row r="111" ht="15.75" customHeight="1">
      <c r="A111" s="55"/>
      <c r="B111" s="55"/>
      <c r="C111" s="43"/>
      <c r="J111" s="43" t="str">
        <f t="shared" si="1"/>
        <v/>
      </c>
      <c r="K111" s="55"/>
    </row>
    <row r="112" ht="15.75" customHeight="1">
      <c r="A112" s="55"/>
      <c r="B112" s="55"/>
      <c r="C112" s="43"/>
      <c r="J112" s="43" t="str">
        <f t="shared" si="1"/>
        <v/>
      </c>
      <c r="K112" s="55"/>
    </row>
    <row r="113" ht="15.75" customHeight="1">
      <c r="A113" s="55"/>
      <c r="B113" s="55"/>
      <c r="C113" s="43"/>
      <c r="J113" s="43" t="str">
        <f t="shared" si="1"/>
        <v/>
      </c>
      <c r="K113" s="55"/>
    </row>
    <row r="114" ht="15.75" customHeight="1">
      <c r="A114" s="55"/>
      <c r="B114" s="55"/>
      <c r="C114" s="43"/>
      <c r="J114" s="43" t="str">
        <f t="shared" si="1"/>
        <v/>
      </c>
      <c r="K114" s="55"/>
    </row>
    <row r="115" ht="15.75" customHeight="1">
      <c r="A115" s="55"/>
      <c r="B115" s="55"/>
      <c r="C115" s="43"/>
      <c r="J115" s="43" t="str">
        <f t="shared" si="1"/>
        <v/>
      </c>
      <c r="K115" s="55"/>
    </row>
    <row r="116" ht="15.75" customHeight="1">
      <c r="A116" s="55"/>
      <c r="B116" s="55"/>
      <c r="C116" s="43"/>
      <c r="J116" s="43" t="str">
        <f t="shared" si="1"/>
        <v/>
      </c>
      <c r="K116" s="55"/>
    </row>
    <row r="117" ht="15.75" customHeight="1">
      <c r="A117" s="55"/>
      <c r="B117" s="55"/>
      <c r="C117" s="43"/>
      <c r="J117" s="43" t="str">
        <f t="shared" si="1"/>
        <v/>
      </c>
      <c r="K117" s="55"/>
    </row>
    <row r="118" ht="15.75" customHeight="1">
      <c r="A118" s="55"/>
      <c r="B118" s="55"/>
      <c r="C118" s="43"/>
      <c r="J118" s="43" t="str">
        <f t="shared" si="1"/>
        <v/>
      </c>
      <c r="K118" s="55"/>
    </row>
    <row r="119" ht="15.75" customHeight="1">
      <c r="A119" s="55"/>
      <c r="B119" s="55"/>
      <c r="C119" s="43"/>
      <c r="J119" s="43" t="str">
        <f t="shared" si="1"/>
        <v/>
      </c>
      <c r="K119" s="55"/>
    </row>
    <row r="120" ht="15.75" customHeight="1">
      <c r="A120" s="55"/>
      <c r="B120" s="55"/>
      <c r="C120" s="43"/>
      <c r="J120" s="43" t="str">
        <f t="shared" si="1"/>
        <v/>
      </c>
      <c r="K120" s="55"/>
    </row>
    <row r="121" ht="15.75" customHeight="1">
      <c r="A121" s="55"/>
      <c r="B121" s="55"/>
      <c r="C121" s="43"/>
      <c r="J121" s="43" t="str">
        <f t="shared" si="1"/>
        <v/>
      </c>
      <c r="K121" s="55"/>
    </row>
    <row r="122" ht="15.75" customHeight="1">
      <c r="A122" s="55"/>
      <c r="B122" s="55"/>
      <c r="C122" s="43"/>
      <c r="J122" s="43" t="str">
        <f t="shared" si="1"/>
        <v/>
      </c>
      <c r="K122" s="55"/>
    </row>
    <row r="123" ht="15.75" customHeight="1">
      <c r="A123" s="55"/>
      <c r="B123" s="55"/>
      <c r="C123" s="43"/>
      <c r="J123" s="43" t="str">
        <f t="shared" si="1"/>
        <v/>
      </c>
      <c r="K123" s="55"/>
    </row>
    <row r="124" ht="15.75" customHeight="1">
      <c r="A124" s="55"/>
      <c r="B124" s="55"/>
      <c r="C124" s="43"/>
      <c r="J124" s="43" t="str">
        <f t="shared" si="1"/>
        <v/>
      </c>
      <c r="K124" s="55"/>
    </row>
    <row r="125" ht="15.75" customHeight="1">
      <c r="A125" s="55"/>
      <c r="B125" s="55"/>
      <c r="C125" s="43"/>
      <c r="J125" s="43" t="str">
        <f t="shared" si="1"/>
        <v/>
      </c>
      <c r="K125" s="55"/>
    </row>
    <row r="126" ht="15.75" customHeight="1">
      <c r="A126" s="55"/>
      <c r="B126" s="55"/>
      <c r="C126" s="43"/>
      <c r="J126" s="43" t="str">
        <f t="shared" si="1"/>
        <v/>
      </c>
      <c r="K126" s="55"/>
    </row>
    <row r="127" ht="15.75" customHeight="1">
      <c r="A127" s="55"/>
      <c r="B127" s="55"/>
      <c r="C127" s="43"/>
      <c r="J127" s="43" t="str">
        <f t="shared" si="1"/>
        <v/>
      </c>
      <c r="K127" s="55"/>
    </row>
    <row r="128" ht="15.75" customHeight="1">
      <c r="A128" s="55"/>
      <c r="B128" s="55"/>
      <c r="C128" s="43"/>
      <c r="J128" s="43" t="str">
        <f t="shared" si="1"/>
        <v/>
      </c>
      <c r="K128" s="55"/>
    </row>
    <row r="129" ht="15.75" customHeight="1">
      <c r="A129" s="55"/>
      <c r="B129" s="55"/>
      <c r="C129" s="43"/>
      <c r="J129" s="43" t="str">
        <f t="shared" si="1"/>
        <v/>
      </c>
      <c r="K129" s="55"/>
    </row>
    <row r="130" ht="15.75" customHeight="1">
      <c r="A130" s="55"/>
      <c r="B130" s="55"/>
      <c r="C130" s="43"/>
      <c r="J130" s="43" t="str">
        <f t="shared" si="1"/>
        <v/>
      </c>
      <c r="K130" s="55"/>
    </row>
    <row r="131" ht="15.75" customHeight="1">
      <c r="A131" s="55"/>
      <c r="B131" s="55"/>
      <c r="C131" s="43"/>
      <c r="J131" s="43" t="str">
        <f t="shared" si="1"/>
        <v/>
      </c>
      <c r="K131" s="55"/>
    </row>
    <row r="132" ht="15.75" customHeight="1">
      <c r="A132" s="55"/>
      <c r="B132" s="55"/>
      <c r="C132" s="43"/>
      <c r="J132" s="43" t="str">
        <f t="shared" si="1"/>
        <v/>
      </c>
      <c r="K132" s="55"/>
    </row>
    <row r="133" ht="15.75" customHeight="1">
      <c r="A133" s="55"/>
      <c r="B133" s="55"/>
      <c r="C133" s="43"/>
      <c r="J133" s="43" t="str">
        <f t="shared" si="1"/>
        <v/>
      </c>
      <c r="K133" s="55"/>
    </row>
    <row r="134" ht="15.75" customHeight="1">
      <c r="A134" s="55"/>
      <c r="B134" s="55"/>
      <c r="C134" s="43"/>
      <c r="J134" s="43" t="str">
        <f t="shared" si="1"/>
        <v/>
      </c>
      <c r="K134" s="55"/>
    </row>
    <row r="135" ht="15.75" customHeight="1">
      <c r="A135" s="55"/>
      <c r="B135" s="55"/>
      <c r="C135" s="43"/>
      <c r="J135" s="43" t="str">
        <f t="shared" si="1"/>
        <v/>
      </c>
      <c r="K135" s="55"/>
    </row>
    <row r="136" ht="15.75" customHeight="1">
      <c r="A136" s="55"/>
      <c r="B136" s="55"/>
      <c r="C136" s="43"/>
      <c r="J136" s="43" t="str">
        <f t="shared" si="1"/>
        <v/>
      </c>
      <c r="K136" s="55"/>
    </row>
    <row r="137" ht="15.75" customHeight="1">
      <c r="A137" s="55"/>
      <c r="B137" s="55"/>
      <c r="C137" s="43"/>
      <c r="J137" s="43" t="str">
        <f t="shared" si="1"/>
        <v/>
      </c>
      <c r="K137" s="55"/>
    </row>
    <row r="138" ht="15.75" customHeight="1">
      <c r="A138" s="55"/>
      <c r="B138" s="55"/>
      <c r="C138" s="43"/>
      <c r="J138" s="43" t="str">
        <f t="shared" si="1"/>
        <v/>
      </c>
      <c r="K138" s="55"/>
    </row>
    <row r="139" ht="15.75" customHeight="1">
      <c r="A139" s="55"/>
      <c r="B139" s="55"/>
      <c r="C139" s="43"/>
      <c r="J139" s="43" t="str">
        <f t="shared" si="1"/>
        <v/>
      </c>
      <c r="K139" s="55"/>
    </row>
    <row r="140" ht="15.75" customHeight="1">
      <c r="A140" s="55"/>
      <c r="B140" s="55"/>
      <c r="C140" s="43"/>
      <c r="J140" s="43" t="str">
        <f t="shared" si="1"/>
        <v/>
      </c>
      <c r="K140" s="55"/>
    </row>
    <row r="141" ht="15.75" customHeight="1">
      <c r="A141" s="55"/>
      <c r="B141" s="55"/>
      <c r="C141" s="43"/>
      <c r="J141" s="43" t="str">
        <f t="shared" si="1"/>
        <v/>
      </c>
      <c r="K141" s="55"/>
    </row>
    <row r="142" ht="15.75" customHeight="1">
      <c r="A142" s="55"/>
      <c r="B142" s="55"/>
      <c r="C142" s="43"/>
      <c r="J142" s="43" t="str">
        <f t="shared" si="1"/>
        <v/>
      </c>
      <c r="K142" s="55"/>
    </row>
    <row r="143" ht="15.75" customHeight="1">
      <c r="A143" s="55"/>
      <c r="B143" s="55"/>
      <c r="C143" s="43"/>
      <c r="J143" s="43" t="str">
        <f t="shared" si="1"/>
        <v/>
      </c>
      <c r="K143" s="55"/>
    </row>
    <row r="144" ht="15.75" customHeight="1">
      <c r="A144" s="55"/>
      <c r="B144" s="55"/>
      <c r="C144" s="43"/>
      <c r="J144" s="43" t="str">
        <f t="shared" si="1"/>
        <v/>
      </c>
      <c r="K144" s="55"/>
    </row>
    <row r="145" ht="15.75" customHeight="1">
      <c r="A145" s="55"/>
      <c r="B145" s="55"/>
      <c r="C145" s="43"/>
      <c r="J145" s="43" t="str">
        <f t="shared" si="1"/>
        <v/>
      </c>
      <c r="K145" s="55"/>
    </row>
    <row r="146" ht="15.75" customHeight="1">
      <c r="A146" s="55"/>
      <c r="B146" s="55"/>
      <c r="C146" s="43"/>
      <c r="J146" s="43" t="str">
        <f t="shared" si="1"/>
        <v/>
      </c>
      <c r="K146" s="55"/>
    </row>
    <row r="147" ht="15.75" customHeight="1">
      <c r="A147" s="55"/>
      <c r="B147" s="55"/>
      <c r="C147" s="43"/>
      <c r="J147" s="43" t="str">
        <f t="shared" si="1"/>
        <v/>
      </c>
      <c r="K147" s="55"/>
    </row>
    <row r="148" ht="15.75" customHeight="1">
      <c r="A148" s="55"/>
      <c r="B148" s="55"/>
      <c r="C148" s="43"/>
      <c r="J148" s="43" t="str">
        <f t="shared" si="1"/>
        <v/>
      </c>
      <c r="K148" s="55"/>
    </row>
    <row r="149" ht="15.75" customHeight="1">
      <c r="A149" s="55"/>
      <c r="B149" s="55"/>
      <c r="C149" s="43"/>
      <c r="J149" s="43" t="str">
        <f t="shared" si="1"/>
        <v/>
      </c>
      <c r="K149" s="55"/>
    </row>
    <row r="150" ht="15.75" customHeight="1">
      <c r="A150" s="55"/>
      <c r="B150" s="55"/>
      <c r="C150" s="43"/>
      <c r="J150" s="43" t="str">
        <f t="shared" si="1"/>
        <v/>
      </c>
      <c r="K150" s="55"/>
    </row>
    <row r="151" ht="15.75" customHeight="1">
      <c r="A151" s="55"/>
      <c r="B151" s="55"/>
      <c r="C151" s="43"/>
      <c r="J151" s="43" t="str">
        <f t="shared" si="1"/>
        <v/>
      </c>
      <c r="K151" s="55"/>
    </row>
    <row r="152" ht="15.75" customHeight="1">
      <c r="A152" s="55"/>
      <c r="B152" s="55"/>
      <c r="C152" s="43"/>
      <c r="J152" s="43" t="str">
        <f t="shared" si="1"/>
        <v/>
      </c>
      <c r="K152" s="55"/>
    </row>
    <row r="153" ht="15.75" customHeight="1">
      <c r="A153" s="55"/>
      <c r="B153" s="55"/>
      <c r="C153" s="43"/>
      <c r="J153" s="43" t="str">
        <f t="shared" si="1"/>
        <v/>
      </c>
      <c r="K153" s="55"/>
    </row>
    <row r="154" ht="15.75" customHeight="1">
      <c r="A154" s="55"/>
      <c r="B154" s="55"/>
      <c r="C154" s="43"/>
      <c r="J154" s="43" t="str">
        <f t="shared" si="1"/>
        <v/>
      </c>
      <c r="K154" s="55"/>
    </row>
    <row r="155" ht="15.75" customHeight="1">
      <c r="A155" s="55"/>
      <c r="B155" s="55"/>
      <c r="C155" s="43"/>
      <c r="J155" s="43" t="str">
        <f t="shared" si="1"/>
        <v/>
      </c>
      <c r="K155" s="55"/>
    </row>
    <row r="156" ht="15.75" customHeight="1">
      <c r="A156" s="55"/>
      <c r="B156" s="55"/>
      <c r="C156" s="43"/>
      <c r="J156" s="43" t="str">
        <f t="shared" si="1"/>
        <v/>
      </c>
      <c r="K156" s="55"/>
    </row>
    <row r="157" ht="15.75" customHeight="1">
      <c r="A157" s="55"/>
      <c r="B157" s="55"/>
      <c r="C157" s="43"/>
      <c r="J157" s="43" t="str">
        <f t="shared" si="1"/>
        <v/>
      </c>
      <c r="K157" s="55"/>
    </row>
    <row r="158" ht="15.75" customHeight="1">
      <c r="A158" s="55"/>
      <c r="B158" s="55"/>
      <c r="C158" s="43"/>
      <c r="J158" s="43" t="str">
        <f t="shared" si="1"/>
        <v/>
      </c>
      <c r="K158" s="55"/>
    </row>
    <row r="159" ht="15.75" customHeight="1">
      <c r="A159" s="55"/>
      <c r="B159" s="55"/>
      <c r="C159" s="43"/>
      <c r="J159" s="43" t="str">
        <f t="shared" si="1"/>
        <v/>
      </c>
      <c r="K159" s="55"/>
    </row>
    <row r="160" ht="15.75" customHeight="1">
      <c r="A160" s="55"/>
      <c r="B160" s="55"/>
      <c r="C160" s="43"/>
      <c r="J160" s="43" t="str">
        <f t="shared" si="1"/>
        <v/>
      </c>
      <c r="K160" s="55"/>
    </row>
    <row r="161" ht="15.75" customHeight="1">
      <c r="A161" s="55"/>
      <c r="B161" s="55"/>
      <c r="C161" s="43"/>
      <c r="J161" s="43" t="str">
        <f t="shared" si="1"/>
        <v/>
      </c>
      <c r="K161" s="55"/>
    </row>
    <row r="162" ht="15.75" customHeight="1">
      <c r="A162" s="55"/>
      <c r="B162" s="55"/>
      <c r="C162" s="43"/>
      <c r="J162" s="43" t="str">
        <f t="shared" si="1"/>
        <v/>
      </c>
      <c r="K162" s="55"/>
    </row>
    <row r="163" ht="15.75" customHeight="1">
      <c r="A163" s="55"/>
      <c r="B163" s="55"/>
      <c r="C163" s="43"/>
      <c r="J163" s="43" t="str">
        <f t="shared" si="1"/>
        <v/>
      </c>
      <c r="K163" s="55"/>
    </row>
    <row r="164" ht="15.75" customHeight="1">
      <c r="A164" s="55"/>
      <c r="B164" s="55"/>
      <c r="C164" s="43"/>
      <c r="J164" s="43" t="str">
        <f t="shared" si="1"/>
        <v/>
      </c>
      <c r="K164" s="55"/>
    </row>
    <row r="165" ht="15.75" customHeight="1">
      <c r="A165" s="55"/>
      <c r="B165" s="55"/>
      <c r="C165" s="43"/>
      <c r="J165" s="43" t="str">
        <f t="shared" si="1"/>
        <v/>
      </c>
      <c r="K165" s="55"/>
    </row>
    <row r="166" ht="15.75" customHeight="1">
      <c r="A166" s="55"/>
      <c r="B166" s="55"/>
      <c r="C166" s="43"/>
      <c r="J166" s="43" t="str">
        <f t="shared" si="1"/>
        <v/>
      </c>
      <c r="K166" s="55"/>
    </row>
    <row r="167" ht="15.75" customHeight="1">
      <c r="A167" s="55"/>
      <c r="B167" s="55"/>
      <c r="C167" s="43"/>
      <c r="J167" s="43" t="str">
        <f t="shared" si="1"/>
        <v/>
      </c>
      <c r="K167" s="55"/>
    </row>
    <row r="168" ht="15.75" customHeight="1">
      <c r="A168" s="55"/>
      <c r="B168" s="55"/>
      <c r="C168" s="43"/>
      <c r="J168" s="43" t="str">
        <f t="shared" si="1"/>
        <v/>
      </c>
      <c r="K168" s="55"/>
    </row>
    <row r="169" ht="15.75" customHeight="1">
      <c r="A169" s="55"/>
      <c r="B169" s="55"/>
      <c r="C169" s="43"/>
      <c r="J169" s="43" t="str">
        <f t="shared" si="1"/>
        <v/>
      </c>
      <c r="K169" s="55"/>
    </row>
    <row r="170" ht="15.75" customHeight="1">
      <c r="A170" s="55"/>
      <c r="B170" s="55"/>
      <c r="C170" s="43"/>
      <c r="J170" s="43" t="str">
        <f t="shared" si="1"/>
        <v/>
      </c>
      <c r="K170" s="55"/>
    </row>
    <row r="171" ht="15.75" customHeight="1">
      <c r="A171" s="55"/>
      <c r="B171" s="55"/>
      <c r="C171" s="43"/>
      <c r="J171" s="43" t="str">
        <f t="shared" si="1"/>
        <v/>
      </c>
      <c r="K171" s="55"/>
    </row>
    <row r="172" ht="15.75" customHeight="1">
      <c r="A172" s="55"/>
      <c r="B172" s="55"/>
      <c r="C172" s="43"/>
      <c r="J172" s="43" t="str">
        <f t="shared" si="1"/>
        <v/>
      </c>
      <c r="K172" s="55"/>
    </row>
    <row r="173" ht="15.75" customHeight="1">
      <c r="A173" s="55"/>
      <c r="B173" s="55"/>
      <c r="C173" s="43"/>
      <c r="J173" s="43" t="str">
        <f t="shared" si="1"/>
        <v/>
      </c>
      <c r="K173" s="55"/>
    </row>
    <row r="174" ht="15.75" customHeight="1">
      <c r="A174" s="55"/>
      <c r="B174" s="55"/>
      <c r="C174" s="43"/>
      <c r="J174" s="43" t="str">
        <f t="shared" si="1"/>
        <v/>
      </c>
      <c r="K174" s="55"/>
    </row>
    <row r="175" ht="15.75" customHeight="1">
      <c r="A175" s="55"/>
      <c r="B175" s="55"/>
      <c r="C175" s="43"/>
      <c r="J175" s="43" t="str">
        <f t="shared" si="1"/>
        <v/>
      </c>
      <c r="K175" s="55"/>
    </row>
    <row r="176" ht="15.75" customHeight="1">
      <c r="A176" s="55"/>
      <c r="B176" s="55"/>
      <c r="C176" s="43"/>
      <c r="J176" s="43" t="str">
        <f t="shared" si="1"/>
        <v/>
      </c>
      <c r="K176" s="55"/>
    </row>
    <row r="177" ht="15.75" customHeight="1">
      <c r="A177" s="55"/>
      <c r="B177" s="55"/>
      <c r="C177" s="43"/>
      <c r="J177" s="43" t="str">
        <f t="shared" si="1"/>
        <v/>
      </c>
      <c r="K177" s="55"/>
    </row>
    <row r="178" ht="15.75" customHeight="1">
      <c r="A178" s="55"/>
      <c r="B178" s="55"/>
      <c r="C178" s="43"/>
      <c r="J178" s="43" t="str">
        <f t="shared" si="1"/>
        <v/>
      </c>
      <c r="K178" s="55"/>
    </row>
    <row r="179" ht="15.75" customHeight="1">
      <c r="A179" s="55"/>
      <c r="B179" s="55"/>
      <c r="C179" s="43"/>
      <c r="J179" s="43" t="str">
        <f t="shared" si="1"/>
        <v/>
      </c>
      <c r="K179" s="55"/>
    </row>
    <row r="180" ht="15.75" customHeight="1">
      <c r="A180" s="55"/>
      <c r="B180" s="55"/>
      <c r="C180" s="43"/>
      <c r="J180" s="43" t="str">
        <f t="shared" si="1"/>
        <v/>
      </c>
      <c r="K180" s="55"/>
    </row>
    <row r="181" ht="15.75" customHeight="1">
      <c r="A181" s="55"/>
      <c r="B181" s="55"/>
      <c r="C181" s="43"/>
      <c r="J181" s="43" t="str">
        <f t="shared" si="1"/>
        <v/>
      </c>
      <c r="K181" s="55"/>
    </row>
    <row r="182" ht="15.75" customHeight="1">
      <c r="A182" s="55"/>
      <c r="B182" s="55"/>
      <c r="C182" s="43"/>
      <c r="J182" s="43" t="str">
        <f t="shared" si="1"/>
        <v/>
      </c>
      <c r="K182" s="55"/>
    </row>
    <row r="183" ht="15.75" customHeight="1">
      <c r="A183" s="55"/>
      <c r="B183" s="55"/>
      <c r="C183" s="43"/>
      <c r="J183" s="43" t="str">
        <f t="shared" si="1"/>
        <v/>
      </c>
      <c r="K183" s="55"/>
    </row>
    <row r="184" ht="15.75" customHeight="1">
      <c r="A184" s="55"/>
      <c r="B184" s="55"/>
      <c r="C184" s="43"/>
      <c r="J184" s="43" t="str">
        <f t="shared" si="1"/>
        <v/>
      </c>
      <c r="K184" s="55"/>
    </row>
    <row r="185" ht="15.75" customHeight="1">
      <c r="A185" s="55"/>
      <c r="B185" s="55"/>
      <c r="C185" s="43"/>
      <c r="J185" s="43" t="str">
        <f t="shared" si="1"/>
        <v/>
      </c>
      <c r="K185" s="55"/>
    </row>
    <row r="186" ht="15.75" customHeight="1">
      <c r="A186" s="55"/>
      <c r="B186" s="55"/>
      <c r="C186" s="43"/>
      <c r="J186" s="43" t="str">
        <f t="shared" si="1"/>
        <v/>
      </c>
      <c r="K186" s="55"/>
    </row>
    <row r="187" ht="15.75" customHeight="1">
      <c r="A187" s="55"/>
      <c r="B187" s="55"/>
      <c r="C187" s="43"/>
      <c r="J187" s="43" t="str">
        <f t="shared" si="1"/>
        <v/>
      </c>
      <c r="K187" s="55"/>
    </row>
    <row r="188" ht="15.75" customHeight="1">
      <c r="A188" s="55"/>
      <c r="B188" s="55"/>
      <c r="C188" s="43"/>
      <c r="J188" s="43" t="str">
        <f t="shared" si="1"/>
        <v/>
      </c>
      <c r="K188" s="55"/>
    </row>
    <row r="189" ht="15.75" customHeight="1">
      <c r="A189" s="55"/>
      <c r="B189" s="55"/>
      <c r="C189" s="43"/>
      <c r="J189" s="43" t="str">
        <f t="shared" si="1"/>
        <v/>
      </c>
      <c r="K189" s="55"/>
    </row>
    <row r="190" ht="15.75" customHeight="1">
      <c r="A190" s="55"/>
      <c r="B190" s="55"/>
      <c r="C190" s="43"/>
      <c r="J190" s="43" t="str">
        <f t="shared" si="1"/>
        <v/>
      </c>
      <c r="K190" s="55"/>
    </row>
    <row r="191" ht="15.75" customHeight="1">
      <c r="A191" s="55"/>
      <c r="B191" s="55"/>
      <c r="C191" s="43"/>
      <c r="J191" s="43" t="str">
        <f t="shared" si="1"/>
        <v/>
      </c>
      <c r="K191" s="55"/>
    </row>
    <row r="192" ht="15.75" customHeight="1">
      <c r="A192" s="55"/>
      <c r="B192" s="55"/>
      <c r="C192" s="43"/>
      <c r="J192" s="43" t="str">
        <f t="shared" si="1"/>
        <v/>
      </c>
      <c r="K192" s="55"/>
    </row>
    <row r="193" ht="15.75" customHeight="1">
      <c r="A193" s="55"/>
      <c r="B193" s="55"/>
      <c r="C193" s="43"/>
      <c r="J193" s="43" t="str">
        <f t="shared" si="1"/>
        <v/>
      </c>
      <c r="K193" s="55"/>
    </row>
    <row r="194" ht="15.75" customHeight="1">
      <c r="A194" s="55"/>
      <c r="B194" s="55"/>
      <c r="C194" s="43"/>
      <c r="J194" s="43" t="str">
        <f t="shared" si="1"/>
        <v/>
      </c>
      <c r="K194" s="55"/>
    </row>
    <row r="195" ht="15.75" customHeight="1">
      <c r="A195" s="55"/>
      <c r="B195" s="55"/>
      <c r="C195" s="43"/>
      <c r="J195" s="43" t="str">
        <f t="shared" si="1"/>
        <v/>
      </c>
      <c r="K195" s="55"/>
    </row>
    <row r="196" ht="15.75" customHeight="1">
      <c r="A196" s="55"/>
      <c r="B196" s="55"/>
      <c r="C196" s="43"/>
      <c r="J196" s="43" t="str">
        <f t="shared" si="1"/>
        <v/>
      </c>
      <c r="K196" s="55"/>
    </row>
    <row r="197" ht="15.75" customHeight="1">
      <c r="A197" s="55"/>
      <c r="B197" s="55"/>
      <c r="C197" s="43"/>
      <c r="J197" s="43" t="str">
        <f t="shared" si="1"/>
        <v/>
      </c>
      <c r="K197" s="55"/>
    </row>
    <row r="198" ht="15.75" customHeight="1">
      <c r="A198" s="55"/>
      <c r="B198" s="55"/>
      <c r="C198" s="43"/>
      <c r="J198" s="43" t="str">
        <f t="shared" si="1"/>
        <v/>
      </c>
      <c r="K198" s="55"/>
    </row>
    <row r="199" ht="15.75" customHeight="1">
      <c r="A199" s="55"/>
      <c r="B199" s="55"/>
      <c r="C199" s="43"/>
      <c r="J199" s="43" t="str">
        <f t="shared" si="1"/>
        <v/>
      </c>
      <c r="K199" s="55"/>
    </row>
    <row r="200" ht="15.75" customHeight="1">
      <c r="A200" s="55"/>
      <c r="B200" s="55"/>
      <c r="C200" s="43"/>
      <c r="J200" s="43" t="str">
        <f t="shared" si="1"/>
        <v/>
      </c>
      <c r="K200" s="55"/>
    </row>
    <row r="201" ht="15.75" customHeight="1">
      <c r="A201" s="55"/>
      <c r="B201" s="55"/>
      <c r="C201" s="43"/>
      <c r="J201" s="43" t="str">
        <f t="shared" si="1"/>
        <v/>
      </c>
      <c r="K201" s="55"/>
    </row>
    <row r="202" ht="15.75" customHeight="1">
      <c r="A202" s="55"/>
      <c r="B202" s="55"/>
      <c r="C202" s="43"/>
      <c r="J202" s="43" t="str">
        <f t="shared" si="1"/>
        <v/>
      </c>
      <c r="K202" s="55"/>
    </row>
    <row r="203" ht="15.75" customHeight="1">
      <c r="A203" s="55"/>
      <c r="B203" s="55"/>
      <c r="C203" s="43"/>
      <c r="J203" s="43" t="str">
        <f t="shared" si="1"/>
        <v/>
      </c>
      <c r="K203" s="55"/>
    </row>
    <row r="204" ht="15.75" customHeight="1">
      <c r="A204" s="55"/>
      <c r="B204" s="55"/>
      <c r="C204" s="43"/>
      <c r="J204" s="43" t="str">
        <f t="shared" si="1"/>
        <v/>
      </c>
      <c r="K204" s="55"/>
    </row>
    <row r="205" ht="15.75" customHeight="1">
      <c r="C205" s="43"/>
    </row>
    <row r="206" ht="15.75" customHeight="1">
      <c r="C206" s="43"/>
    </row>
    <row r="207" ht="15.75" customHeight="1">
      <c r="C207" s="43"/>
    </row>
    <row r="208" ht="15.75" customHeight="1">
      <c r="C208" s="43"/>
    </row>
    <row r="209" ht="15.75" customHeight="1">
      <c r="C209" s="43"/>
    </row>
    <row r="210" ht="15.75" customHeight="1">
      <c r="C210" s="43"/>
    </row>
    <row r="211" ht="15.75" customHeight="1">
      <c r="C211" s="43"/>
    </row>
    <row r="212" ht="15.75" customHeight="1">
      <c r="C212" s="43"/>
    </row>
    <row r="213" ht="15.75" customHeight="1">
      <c r="C213" s="43"/>
    </row>
    <row r="214" ht="15.75" customHeight="1">
      <c r="C214" s="43"/>
    </row>
    <row r="215" ht="15.75" customHeight="1">
      <c r="C215" s="43"/>
    </row>
    <row r="216" ht="15.75" customHeight="1">
      <c r="C216" s="43"/>
    </row>
    <row r="217" ht="15.75" customHeight="1">
      <c r="C217" s="43"/>
    </row>
    <row r="218" ht="15.75" customHeight="1">
      <c r="C218" s="43"/>
    </row>
    <row r="219" ht="15.75" customHeight="1">
      <c r="C219" s="43"/>
    </row>
    <row r="220" ht="15.75" customHeight="1">
      <c r="C220" s="43"/>
    </row>
    <row r="221" ht="15.75" customHeight="1">
      <c r="C221" s="43"/>
    </row>
    <row r="222" ht="15.75" customHeight="1">
      <c r="C222" s="43"/>
    </row>
    <row r="223" ht="15.75" customHeight="1">
      <c r="C223" s="43"/>
    </row>
    <row r="224" ht="15.75" customHeight="1">
      <c r="C224" s="43"/>
    </row>
    <row r="225" ht="15.75" customHeight="1">
      <c r="C225" s="43"/>
    </row>
    <row r="226" ht="15.75" customHeight="1">
      <c r="C226" s="43"/>
    </row>
    <row r="227" ht="15.75" customHeight="1">
      <c r="C227" s="43"/>
    </row>
    <row r="228" ht="15.75" customHeight="1">
      <c r="C228" s="43"/>
    </row>
    <row r="229" ht="15.75" customHeight="1">
      <c r="C229" s="43"/>
    </row>
    <row r="230" ht="15.75" customHeight="1">
      <c r="C230" s="43"/>
    </row>
    <row r="231" ht="15.75" customHeight="1">
      <c r="C231" s="43"/>
    </row>
    <row r="232" ht="15.75" customHeight="1">
      <c r="C232" s="43"/>
    </row>
    <row r="233" ht="15.75" customHeight="1">
      <c r="C233" s="43"/>
    </row>
    <row r="234" ht="15.75" customHeight="1">
      <c r="C234" s="43"/>
    </row>
    <row r="235" ht="15.75" customHeight="1">
      <c r="C235" s="43"/>
    </row>
    <row r="236" ht="15.75" customHeight="1">
      <c r="C236" s="43"/>
    </row>
    <row r="237" ht="15.75" customHeight="1">
      <c r="C237" s="43"/>
    </row>
    <row r="238" ht="15.75" customHeight="1">
      <c r="C238" s="43"/>
    </row>
    <row r="239" ht="15.75" customHeight="1">
      <c r="C239" s="43"/>
    </row>
    <row r="240" ht="15.75" customHeight="1">
      <c r="C240" s="43"/>
    </row>
    <row r="241" ht="15.75" customHeight="1">
      <c r="C241" s="43"/>
    </row>
    <row r="242" ht="15.75" customHeight="1">
      <c r="C242" s="43"/>
    </row>
    <row r="243" ht="15.75" customHeight="1">
      <c r="C243" s="43"/>
    </row>
    <row r="244" ht="15.75" customHeight="1">
      <c r="C244" s="43"/>
    </row>
    <row r="245" ht="15.75" customHeight="1">
      <c r="C245" s="43"/>
    </row>
    <row r="246" ht="15.75" customHeight="1">
      <c r="C246" s="43"/>
    </row>
    <row r="247" ht="15.75" customHeight="1">
      <c r="C247" s="43"/>
    </row>
    <row r="248" ht="15.75" customHeight="1">
      <c r="C248" s="43"/>
    </row>
    <row r="249" ht="15.75" customHeight="1">
      <c r="C249" s="43"/>
    </row>
    <row r="250" ht="15.75" customHeight="1">
      <c r="C250" s="43"/>
    </row>
    <row r="251" ht="15.75" customHeight="1">
      <c r="C251" s="43"/>
    </row>
    <row r="252" ht="15.75" customHeight="1">
      <c r="C252" s="43"/>
    </row>
    <row r="253" ht="15.75" customHeight="1">
      <c r="C253" s="43"/>
    </row>
    <row r="254" ht="15.75" customHeight="1">
      <c r="C254" s="43"/>
    </row>
    <row r="255" ht="15.75" customHeight="1">
      <c r="C255" s="43"/>
    </row>
    <row r="256" ht="15.75" customHeight="1">
      <c r="C256" s="43"/>
    </row>
    <row r="257" ht="15.75" customHeight="1">
      <c r="C257" s="43"/>
    </row>
    <row r="258" ht="15.75" customHeight="1">
      <c r="C258" s="43"/>
    </row>
    <row r="259" ht="15.75" customHeight="1">
      <c r="C259" s="43"/>
    </row>
    <row r="260" ht="15.75" customHeight="1">
      <c r="C260" s="43"/>
    </row>
    <row r="261" ht="15.75" customHeight="1">
      <c r="C261" s="43"/>
    </row>
    <row r="262" ht="15.75" customHeight="1">
      <c r="C262" s="43"/>
    </row>
    <row r="263" ht="15.75" customHeight="1">
      <c r="C263" s="43"/>
    </row>
    <row r="264" ht="15.75" customHeight="1">
      <c r="C264" s="43"/>
    </row>
    <row r="265" ht="15.75" customHeight="1">
      <c r="C265" s="43"/>
    </row>
    <row r="266" ht="15.75" customHeight="1">
      <c r="C266" s="43"/>
    </row>
    <row r="267" ht="15.75" customHeight="1">
      <c r="C267" s="43"/>
    </row>
    <row r="268" ht="15.75" customHeight="1">
      <c r="C268" s="43"/>
    </row>
    <row r="269" ht="15.75" customHeight="1">
      <c r="C269" s="43"/>
    </row>
    <row r="270" ht="15.75" customHeight="1">
      <c r="C270" s="43"/>
    </row>
    <row r="271" ht="15.75" customHeight="1">
      <c r="C271" s="43"/>
    </row>
    <row r="272" ht="15.75" customHeight="1">
      <c r="C272" s="43"/>
    </row>
    <row r="273" ht="15.75" customHeight="1">
      <c r="C273" s="43"/>
    </row>
    <row r="274" ht="15.75" customHeight="1">
      <c r="C274" s="43"/>
    </row>
    <row r="275" ht="15.75" customHeight="1">
      <c r="C275" s="43"/>
    </row>
    <row r="276" ht="15.75" customHeight="1">
      <c r="C276" s="43"/>
    </row>
    <row r="277" ht="15.75" customHeight="1">
      <c r="C277" s="43"/>
    </row>
    <row r="278" ht="15.75" customHeight="1">
      <c r="C278" s="43"/>
    </row>
    <row r="279" ht="15.75" customHeight="1">
      <c r="C279" s="43"/>
    </row>
    <row r="280" ht="15.75" customHeight="1">
      <c r="C280" s="43"/>
    </row>
    <row r="281" ht="15.75" customHeight="1">
      <c r="C281" s="43"/>
    </row>
    <row r="282" ht="15.75" customHeight="1">
      <c r="C282" s="43"/>
    </row>
    <row r="283" ht="15.75" customHeight="1">
      <c r="C283" s="43"/>
    </row>
    <row r="284" ht="15.75" customHeight="1">
      <c r="C284" s="43"/>
    </row>
    <row r="285" ht="15.75" customHeight="1">
      <c r="C285" s="43"/>
    </row>
    <row r="286" ht="15.75" customHeight="1">
      <c r="C286" s="43"/>
    </row>
    <row r="287" ht="15.75" customHeight="1">
      <c r="C287" s="43"/>
    </row>
    <row r="288" ht="15.75" customHeight="1">
      <c r="C288" s="43"/>
    </row>
    <row r="289" ht="15.75" customHeight="1">
      <c r="C289" s="43"/>
    </row>
    <row r="290" ht="15.75" customHeight="1">
      <c r="C290" s="43"/>
    </row>
    <row r="291" ht="15.75" customHeight="1">
      <c r="C291" s="43"/>
    </row>
    <row r="292" ht="15.75" customHeight="1">
      <c r="C292" s="43"/>
    </row>
    <row r="293" ht="15.75" customHeight="1">
      <c r="C293" s="43"/>
    </row>
    <row r="294" ht="15.75" customHeight="1">
      <c r="C294" s="43"/>
    </row>
    <row r="295" ht="15.75" customHeight="1">
      <c r="C295" s="43"/>
    </row>
    <row r="296" ht="15.75" customHeight="1">
      <c r="C296" s="43"/>
    </row>
    <row r="297" ht="15.75" customHeight="1">
      <c r="C297" s="43"/>
    </row>
    <row r="298" ht="15.75" customHeight="1">
      <c r="C298" s="43"/>
    </row>
    <row r="299" ht="15.75" customHeight="1">
      <c r="C299" s="43"/>
    </row>
    <row r="300" ht="15.75" customHeight="1">
      <c r="C300" s="43"/>
    </row>
    <row r="301" ht="15.75" customHeight="1">
      <c r="C301" s="43"/>
    </row>
    <row r="302" ht="15.75" customHeight="1">
      <c r="C302" s="43"/>
    </row>
    <row r="303" ht="15.75" customHeight="1">
      <c r="C303" s="43"/>
    </row>
    <row r="304" ht="15.75" customHeight="1">
      <c r="C304" s="43"/>
    </row>
    <row r="305" ht="15.75" customHeight="1">
      <c r="C305" s="43"/>
    </row>
    <row r="306" ht="15.75" customHeight="1">
      <c r="C306" s="43"/>
    </row>
    <row r="307" ht="15.75" customHeight="1">
      <c r="C307" s="43"/>
    </row>
    <row r="308" ht="15.75" customHeight="1">
      <c r="C308" s="43"/>
    </row>
    <row r="309" ht="15.75" customHeight="1">
      <c r="C309" s="43"/>
    </row>
    <row r="310" ht="15.75" customHeight="1">
      <c r="C310" s="43"/>
    </row>
    <row r="311" ht="15.75" customHeight="1">
      <c r="C311" s="43"/>
    </row>
    <row r="312" ht="15.75" customHeight="1">
      <c r="C312" s="43"/>
    </row>
    <row r="313" ht="15.75" customHeight="1">
      <c r="C313" s="43"/>
    </row>
    <row r="314" ht="15.75" customHeight="1">
      <c r="C314" s="43"/>
    </row>
    <row r="315" ht="15.75" customHeight="1">
      <c r="C315" s="43"/>
    </row>
    <row r="316" ht="15.75" customHeight="1">
      <c r="C316" s="43"/>
    </row>
    <row r="317" ht="15.75" customHeight="1">
      <c r="C317" s="43"/>
    </row>
    <row r="318" ht="15.75" customHeight="1">
      <c r="C318" s="43"/>
    </row>
    <row r="319" ht="15.75" customHeight="1">
      <c r="C319" s="43"/>
    </row>
    <row r="320" ht="15.75" customHeight="1">
      <c r="C320" s="43"/>
    </row>
    <row r="321" ht="15.75" customHeight="1">
      <c r="C321" s="43"/>
    </row>
    <row r="322" ht="15.75" customHeight="1">
      <c r="C322" s="43"/>
    </row>
    <row r="323" ht="15.75" customHeight="1">
      <c r="C323" s="43"/>
    </row>
    <row r="324" ht="15.75" customHeight="1">
      <c r="C324" s="43"/>
    </row>
    <row r="325" ht="15.75" customHeight="1">
      <c r="C325" s="43"/>
    </row>
    <row r="326" ht="15.75" customHeight="1">
      <c r="C326" s="43"/>
    </row>
    <row r="327" ht="15.75" customHeight="1">
      <c r="C327" s="43"/>
    </row>
    <row r="328" ht="15.75" customHeight="1">
      <c r="C328" s="43"/>
    </row>
    <row r="329" ht="15.75" customHeight="1">
      <c r="C329" s="43"/>
    </row>
    <row r="330" ht="15.75" customHeight="1">
      <c r="C330" s="43"/>
    </row>
    <row r="331" ht="15.75" customHeight="1">
      <c r="C331" s="43"/>
    </row>
    <row r="332" ht="15.75" customHeight="1">
      <c r="C332" s="43"/>
    </row>
    <row r="333" ht="15.75" customHeight="1">
      <c r="C333" s="43"/>
    </row>
    <row r="334" ht="15.75" customHeight="1">
      <c r="C334" s="43"/>
    </row>
    <row r="335" ht="15.75" customHeight="1">
      <c r="C335" s="43"/>
    </row>
    <row r="336" ht="15.75" customHeight="1">
      <c r="C336" s="43"/>
    </row>
    <row r="337" ht="15.75" customHeight="1">
      <c r="C337" s="43"/>
    </row>
    <row r="338" ht="15.75" customHeight="1">
      <c r="C338" s="43"/>
    </row>
    <row r="339" ht="15.75" customHeight="1">
      <c r="C339" s="43"/>
    </row>
    <row r="340" ht="15.75" customHeight="1">
      <c r="C340" s="43"/>
    </row>
    <row r="341" ht="15.75" customHeight="1">
      <c r="C341" s="43"/>
    </row>
    <row r="342" ht="15.75" customHeight="1">
      <c r="C342" s="43"/>
    </row>
    <row r="343" ht="15.75" customHeight="1">
      <c r="C343" s="43"/>
    </row>
    <row r="344" ht="15.75" customHeight="1">
      <c r="C344" s="43"/>
    </row>
    <row r="345" ht="15.75" customHeight="1">
      <c r="C345" s="43"/>
    </row>
    <row r="346" ht="15.75" customHeight="1">
      <c r="C346" s="43"/>
    </row>
    <row r="347" ht="15.75" customHeight="1">
      <c r="C347" s="43"/>
    </row>
    <row r="348" ht="15.75" customHeight="1">
      <c r="C348" s="43"/>
    </row>
    <row r="349" ht="15.75" customHeight="1">
      <c r="C349" s="43"/>
    </row>
    <row r="350" ht="15.75" customHeight="1">
      <c r="C350" s="43"/>
    </row>
    <row r="351" ht="15.75" customHeight="1">
      <c r="C351" s="43"/>
    </row>
    <row r="352" ht="15.75" customHeight="1">
      <c r="C352" s="43"/>
    </row>
    <row r="353" ht="15.75" customHeight="1">
      <c r="C353" s="43"/>
    </row>
    <row r="354" ht="15.75" customHeight="1">
      <c r="C354" s="43"/>
    </row>
    <row r="355" ht="15.75" customHeight="1">
      <c r="C355" s="43"/>
    </row>
    <row r="356" ht="15.75" customHeight="1">
      <c r="C356" s="43"/>
    </row>
    <row r="357" ht="15.75" customHeight="1">
      <c r="C357" s="43"/>
    </row>
    <row r="358" ht="15.75" customHeight="1">
      <c r="C358" s="43"/>
    </row>
    <row r="359" ht="15.75" customHeight="1">
      <c r="C359" s="43"/>
    </row>
    <row r="360" ht="15.75" customHeight="1">
      <c r="C360" s="43"/>
    </row>
    <row r="361" ht="15.75" customHeight="1">
      <c r="C361" s="43"/>
    </row>
    <row r="362" ht="15.75" customHeight="1">
      <c r="C362" s="43"/>
    </row>
    <row r="363" ht="15.75" customHeight="1">
      <c r="C363" s="43"/>
    </row>
    <row r="364" ht="15.75" customHeight="1">
      <c r="C364" s="43"/>
    </row>
    <row r="365" ht="15.75" customHeight="1">
      <c r="C365" s="43"/>
    </row>
    <row r="366" ht="15.75" customHeight="1">
      <c r="C366" s="43"/>
    </row>
    <row r="367" ht="15.75" customHeight="1">
      <c r="C367" s="43"/>
    </row>
    <row r="368" ht="15.75" customHeight="1">
      <c r="C368" s="43"/>
    </row>
    <row r="369" ht="15.75" customHeight="1">
      <c r="C369" s="43"/>
    </row>
    <row r="370" ht="15.75" customHeight="1">
      <c r="C370" s="43"/>
    </row>
    <row r="371" ht="15.75" customHeight="1">
      <c r="C371" s="43"/>
    </row>
    <row r="372" ht="15.75" customHeight="1">
      <c r="C372" s="43"/>
    </row>
    <row r="373" ht="15.75" customHeight="1">
      <c r="C373" s="43"/>
    </row>
    <row r="374" ht="15.75" customHeight="1">
      <c r="C374" s="43"/>
    </row>
    <row r="375" ht="15.75" customHeight="1">
      <c r="C375" s="43"/>
    </row>
    <row r="376" ht="15.75" customHeight="1">
      <c r="C376" s="43"/>
    </row>
    <row r="377" ht="15.75" customHeight="1">
      <c r="C377" s="43"/>
    </row>
    <row r="378" ht="15.75" customHeight="1">
      <c r="C378" s="43"/>
    </row>
    <row r="379" ht="15.75" customHeight="1">
      <c r="C379" s="43"/>
    </row>
    <row r="380" ht="15.75" customHeight="1">
      <c r="C380" s="43"/>
    </row>
    <row r="381" ht="15.75" customHeight="1">
      <c r="C381" s="43"/>
    </row>
    <row r="382" ht="15.75" customHeight="1">
      <c r="C382" s="43"/>
    </row>
    <row r="383" ht="15.75" customHeight="1">
      <c r="C383" s="43"/>
    </row>
    <row r="384" ht="15.75" customHeight="1">
      <c r="C384" s="43"/>
    </row>
    <row r="385" ht="15.75" customHeight="1">
      <c r="C385" s="43"/>
    </row>
    <row r="386" ht="15.75" customHeight="1">
      <c r="C386" s="43"/>
    </row>
    <row r="387" ht="15.75" customHeight="1">
      <c r="C387" s="43"/>
    </row>
    <row r="388" ht="15.75" customHeight="1">
      <c r="C388" s="43"/>
    </row>
    <row r="389" ht="15.75" customHeight="1">
      <c r="C389" s="43"/>
    </row>
    <row r="390" ht="15.75" customHeight="1">
      <c r="C390" s="43"/>
    </row>
    <row r="391" ht="15.75" customHeight="1">
      <c r="C391" s="43"/>
    </row>
    <row r="392" ht="15.75" customHeight="1">
      <c r="C392" s="43"/>
    </row>
    <row r="393" ht="15.75" customHeight="1">
      <c r="C393" s="43"/>
    </row>
    <row r="394" ht="15.75" customHeight="1">
      <c r="C394" s="43"/>
    </row>
    <row r="395" ht="15.75" customHeight="1">
      <c r="C395" s="43"/>
    </row>
    <row r="396" ht="15.75" customHeight="1">
      <c r="C396" s="43"/>
    </row>
    <row r="397" ht="15.75" customHeight="1">
      <c r="C397" s="43"/>
    </row>
    <row r="398" ht="15.75" customHeight="1">
      <c r="C398" s="43"/>
    </row>
    <row r="399" ht="15.75" customHeight="1">
      <c r="C399" s="43"/>
    </row>
    <row r="400" ht="15.75" customHeight="1">
      <c r="C400" s="43"/>
    </row>
    <row r="401" ht="15.75" customHeight="1">
      <c r="C401" s="43"/>
    </row>
    <row r="402" ht="15.75" customHeight="1">
      <c r="C402" s="43"/>
    </row>
    <row r="403" ht="15.75" customHeight="1">
      <c r="C403" s="43"/>
    </row>
    <row r="404" ht="15.75" customHeight="1">
      <c r="C404" s="43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K2"/>
  </mergeCells>
  <conditionalFormatting sqref="C5:C1000">
    <cfRule type="expression" dxfId="5" priority="1">
      <formula>C5="Зелений"</formula>
    </cfRule>
  </conditionalFormatting>
  <conditionalFormatting sqref="C5:C1000">
    <cfRule type="expression" dxfId="1" priority="2">
      <formula>C5="Жовтий"</formula>
    </cfRule>
  </conditionalFormatting>
  <conditionalFormatting sqref="C5:C1000">
    <cfRule type="expression" dxfId="4" priority="3">
      <formula>C5="Червоний"</formula>
    </cfRule>
  </conditionalFormatting>
  <dataValidations>
    <dataValidation type="list" allowBlank="1" sqref="C5:C500">
      <formula1>"Зелений,Жовтий,Червоний"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40.0"/>
    <col customWidth="1" min="4" max="4" width="16.0"/>
    <col customWidth="1" min="5" max="5" width="10.0"/>
    <col customWidth="1" min="6" max="6" width="11.0"/>
    <col customWidth="1" min="7" max="7" width="12.0"/>
    <col customWidth="1" min="8" max="8" width="14.0"/>
    <col customWidth="1" min="9" max="9" width="12.0"/>
    <col customWidth="1" min="10" max="10" width="10.0"/>
  </cols>
  <sheetData>
    <row r="1">
      <c r="A1" s="1" t="s">
        <v>180</v>
      </c>
    </row>
    <row r="2" ht="48.0" customHeight="1">
      <c r="A2" s="2" t="s">
        <v>323</v>
      </c>
    </row>
    <row r="4">
      <c r="A4" s="7" t="s">
        <v>324</v>
      </c>
      <c r="B4" s="53">
        <f>SUMIFS(E8:E500,H8:H500,"Затверджено")</f>
        <v>16</v>
      </c>
    </row>
    <row r="5">
      <c r="A5" s="7" t="s">
        <v>325</v>
      </c>
      <c r="B5" s="49">
        <f>SUMIFS(F8:F500,H8:H500,"Затверджено")</f>
        <v>640</v>
      </c>
    </row>
    <row r="7" ht="30.0" customHeight="1">
      <c r="A7" s="4" t="s">
        <v>326</v>
      </c>
      <c r="B7" s="4" t="s">
        <v>72</v>
      </c>
      <c r="C7" s="4" t="s">
        <v>327</v>
      </c>
      <c r="D7" s="4" t="s">
        <v>328</v>
      </c>
      <c r="E7" s="4" t="s">
        <v>329</v>
      </c>
      <c r="F7" s="4" t="s">
        <v>330</v>
      </c>
      <c r="G7" s="4" t="s">
        <v>331</v>
      </c>
      <c r="H7" s="4" t="s">
        <v>332</v>
      </c>
      <c r="I7" s="4" t="s">
        <v>333</v>
      </c>
      <c r="J7" s="4" t="s">
        <v>111</v>
      </c>
    </row>
    <row r="8">
      <c r="A8" s="27" t="s">
        <v>335</v>
      </c>
      <c r="B8" s="45" t="s">
        <v>336</v>
      </c>
      <c r="C8" s="27" t="s">
        <v>338</v>
      </c>
      <c r="D8" s="27" t="s">
        <v>19</v>
      </c>
      <c r="E8" s="27">
        <v>16.0</v>
      </c>
      <c r="F8" s="38">
        <f>IF(E8="","",E8*Estimate!$C$5)</f>
        <v>640</v>
      </c>
      <c r="G8" s="27">
        <v>3.0</v>
      </c>
      <c r="H8" s="27" t="s">
        <v>346</v>
      </c>
      <c r="I8" s="45" t="s">
        <v>347</v>
      </c>
      <c r="J8" s="27" t="s">
        <v>348</v>
      </c>
    </row>
    <row r="9">
      <c r="A9" s="29"/>
      <c r="B9" s="51"/>
      <c r="C9" s="29"/>
      <c r="D9" s="29"/>
      <c r="E9" s="29"/>
      <c r="F9" s="41" t="str">
        <f>IF(E9="","",E9*Estimate!$C$5)</f>
        <v/>
      </c>
      <c r="G9" s="29"/>
      <c r="H9" s="29"/>
      <c r="I9" s="51"/>
      <c r="J9" s="29"/>
    </row>
    <row r="10">
      <c r="A10" s="29"/>
      <c r="B10" s="51"/>
      <c r="C10" s="29"/>
      <c r="D10" s="29"/>
      <c r="E10" s="29"/>
      <c r="F10" s="41" t="str">
        <f>IF(E10="","",E10*Estimate!$C$5)</f>
        <v/>
      </c>
      <c r="G10" s="29"/>
      <c r="H10" s="29"/>
      <c r="I10" s="51"/>
      <c r="J10" s="29"/>
    </row>
    <row r="11">
      <c r="A11" s="29"/>
      <c r="B11" s="51"/>
      <c r="C11" s="29"/>
      <c r="D11" s="29"/>
      <c r="E11" s="29"/>
      <c r="F11" s="41" t="str">
        <f>IF(E11="","",E11*Estimate!$C$5)</f>
        <v/>
      </c>
      <c r="G11" s="29"/>
      <c r="H11" s="29"/>
      <c r="I11" s="51"/>
      <c r="J11" s="29"/>
    </row>
    <row r="12">
      <c r="A12" s="29"/>
      <c r="B12" s="51"/>
      <c r="C12" s="29"/>
      <c r="D12" s="29"/>
      <c r="E12" s="29"/>
      <c r="F12" s="41" t="str">
        <f>IF(E12="","",E12*Estimate!$C$5)</f>
        <v/>
      </c>
      <c r="G12" s="29"/>
      <c r="H12" s="29"/>
      <c r="I12" s="51"/>
      <c r="J12" s="29"/>
    </row>
    <row r="13">
      <c r="A13" s="29"/>
      <c r="B13" s="51"/>
      <c r="C13" s="29"/>
      <c r="D13" s="29"/>
      <c r="E13" s="29"/>
      <c r="F13" s="41" t="str">
        <f>IF(E13="","",E13*Estimate!$C$5)</f>
        <v/>
      </c>
      <c r="G13" s="29"/>
      <c r="H13" s="29"/>
      <c r="I13" s="51"/>
      <c r="J13" s="29"/>
    </row>
    <row r="14">
      <c r="A14" s="29"/>
      <c r="B14" s="51"/>
      <c r="C14" s="29"/>
      <c r="D14" s="29"/>
      <c r="E14" s="29"/>
      <c r="F14" s="41" t="str">
        <f>IF(E14="","",E14*Estimate!$C$5)</f>
        <v/>
      </c>
      <c r="G14" s="29"/>
      <c r="H14" s="29"/>
      <c r="I14" s="51"/>
      <c r="J14" s="29"/>
    </row>
    <row r="15">
      <c r="A15" s="29"/>
      <c r="B15" s="51"/>
      <c r="C15" s="29"/>
      <c r="D15" s="29"/>
      <c r="E15" s="29"/>
      <c r="F15" s="41" t="str">
        <f>IF(E15="","",E15*Estimate!$C$5)</f>
        <v/>
      </c>
      <c r="G15" s="29"/>
      <c r="H15" s="29"/>
      <c r="I15" s="51"/>
      <c r="J15" s="29"/>
    </row>
    <row r="16">
      <c r="A16" s="29"/>
      <c r="B16" s="51"/>
      <c r="C16" s="29"/>
      <c r="D16" s="29"/>
      <c r="E16" s="29"/>
      <c r="F16" s="41" t="str">
        <f>IF(E16="","",E16*Estimate!$C$5)</f>
        <v/>
      </c>
      <c r="G16" s="29"/>
      <c r="H16" s="29"/>
      <c r="I16" s="51"/>
      <c r="J16" s="29"/>
    </row>
    <row r="17">
      <c r="A17" s="29"/>
      <c r="B17" s="51"/>
      <c r="C17" s="29"/>
      <c r="D17" s="29"/>
      <c r="E17" s="29"/>
      <c r="F17" s="41" t="str">
        <f>IF(E17="","",E17*Estimate!$C$5)</f>
        <v/>
      </c>
      <c r="G17" s="29"/>
      <c r="H17" s="29"/>
      <c r="I17" s="51"/>
      <c r="J17" s="29"/>
    </row>
    <row r="18">
      <c r="A18" s="29"/>
      <c r="B18" s="51"/>
      <c r="C18" s="29"/>
      <c r="D18" s="29"/>
      <c r="E18" s="29"/>
      <c r="F18" s="41" t="str">
        <f>IF(E18="","",E18*Estimate!$C$5)</f>
        <v/>
      </c>
      <c r="G18" s="29"/>
      <c r="H18" s="29"/>
      <c r="I18" s="51"/>
      <c r="J18" s="29"/>
    </row>
    <row r="19">
      <c r="A19" s="29"/>
      <c r="B19" s="51"/>
      <c r="C19" s="29"/>
      <c r="D19" s="29"/>
      <c r="E19" s="29"/>
      <c r="F19" s="41" t="str">
        <f>IF(E19="","",E19*Estimate!$C$5)</f>
        <v/>
      </c>
      <c r="G19" s="29"/>
      <c r="H19" s="29"/>
      <c r="I19" s="51"/>
      <c r="J19" s="29"/>
    </row>
    <row r="20">
      <c r="A20" s="29"/>
      <c r="B20" s="51"/>
      <c r="C20" s="29"/>
      <c r="D20" s="29"/>
      <c r="E20" s="29"/>
      <c r="F20" s="41" t="str">
        <f>IF(E20="","",E20*Estimate!$C$5)</f>
        <v/>
      </c>
      <c r="G20" s="29"/>
      <c r="H20" s="29"/>
      <c r="I20" s="51"/>
      <c r="J20" s="29"/>
    </row>
    <row r="21" ht="15.75" customHeight="1">
      <c r="A21" s="29"/>
      <c r="B21" s="51"/>
      <c r="C21" s="29"/>
      <c r="D21" s="29"/>
      <c r="E21" s="29"/>
      <c r="F21" s="41" t="str">
        <f>IF(E21="","",E21*Estimate!$C$5)</f>
        <v/>
      </c>
      <c r="G21" s="29"/>
      <c r="H21" s="29"/>
      <c r="I21" s="51"/>
      <c r="J21" s="29"/>
    </row>
    <row r="22" ht="15.75" customHeight="1">
      <c r="A22" s="29"/>
      <c r="B22" s="51"/>
      <c r="C22" s="29"/>
      <c r="D22" s="29"/>
      <c r="E22" s="29"/>
      <c r="F22" s="41" t="str">
        <f>IF(E22="","",E22*Estimate!$C$5)</f>
        <v/>
      </c>
      <c r="G22" s="29"/>
      <c r="H22" s="29"/>
      <c r="I22" s="51"/>
      <c r="J22" s="29"/>
    </row>
    <row r="23" ht="15.75" customHeight="1">
      <c r="A23" s="29"/>
      <c r="B23" s="51"/>
      <c r="C23" s="29"/>
      <c r="D23" s="29"/>
      <c r="E23" s="29"/>
      <c r="F23" s="41" t="str">
        <f>IF(E23="","",E23*Estimate!$C$5)</f>
        <v/>
      </c>
      <c r="G23" s="29"/>
      <c r="H23" s="29"/>
      <c r="I23" s="51"/>
      <c r="J23" s="29"/>
    </row>
    <row r="24" ht="15.75" customHeight="1">
      <c r="A24" s="29"/>
      <c r="B24" s="51"/>
      <c r="C24" s="29"/>
      <c r="D24" s="29"/>
      <c r="E24" s="29"/>
      <c r="F24" s="41" t="str">
        <f>IF(E24="","",E24*Estimate!$C$5)</f>
        <v/>
      </c>
      <c r="G24" s="29"/>
      <c r="H24" s="29"/>
      <c r="I24" s="51"/>
      <c r="J24" s="29"/>
    </row>
    <row r="25" ht="15.75" customHeight="1">
      <c r="A25" s="29"/>
      <c r="B25" s="51"/>
      <c r="C25" s="29"/>
      <c r="D25" s="29"/>
      <c r="E25" s="29"/>
      <c r="F25" s="41" t="str">
        <f>IF(E25="","",E25*Estimate!$C$5)</f>
        <v/>
      </c>
      <c r="G25" s="29"/>
      <c r="H25" s="29"/>
      <c r="I25" s="51"/>
      <c r="J25" s="29"/>
    </row>
    <row r="26" ht="15.75" customHeight="1">
      <c r="A26" s="29"/>
      <c r="B26" s="51"/>
      <c r="C26" s="29"/>
      <c r="D26" s="29"/>
      <c r="E26" s="29"/>
      <c r="F26" s="41" t="str">
        <f>IF(E26="","",E26*Estimate!$C$5)</f>
        <v/>
      </c>
      <c r="G26" s="29"/>
      <c r="H26" s="29"/>
      <c r="I26" s="51"/>
      <c r="J26" s="29"/>
    </row>
    <row r="27" ht="15.75" customHeight="1">
      <c r="A27" s="29"/>
      <c r="B27" s="51"/>
      <c r="C27" s="29"/>
      <c r="D27" s="29"/>
      <c r="E27" s="29"/>
      <c r="F27" s="41" t="str">
        <f>IF(E27="","",E27*Estimate!$C$5)</f>
        <v/>
      </c>
      <c r="G27" s="29"/>
      <c r="H27" s="29"/>
      <c r="I27" s="51"/>
      <c r="J27" s="29"/>
    </row>
    <row r="28" ht="15.75" customHeight="1">
      <c r="A28" s="29"/>
      <c r="B28" s="51"/>
      <c r="C28" s="29"/>
      <c r="D28" s="29"/>
      <c r="E28" s="29"/>
      <c r="F28" s="41" t="str">
        <f>IF(E28="","",E28*Estimate!$C$5)</f>
        <v/>
      </c>
      <c r="G28" s="29"/>
      <c r="H28" s="29"/>
      <c r="I28" s="51"/>
      <c r="J28" s="29"/>
    </row>
    <row r="29" ht="15.75" customHeight="1">
      <c r="A29" s="29"/>
      <c r="B29" s="51"/>
      <c r="C29" s="29"/>
      <c r="D29" s="29"/>
      <c r="E29" s="29"/>
      <c r="F29" s="41" t="str">
        <f>IF(E29="","",E29*Estimate!$C$5)</f>
        <v/>
      </c>
      <c r="G29" s="29"/>
      <c r="H29" s="29"/>
      <c r="I29" s="51"/>
      <c r="J29" s="29"/>
    </row>
    <row r="30" ht="15.75" customHeight="1">
      <c r="A30" s="29"/>
      <c r="B30" s="51"/>
      <c r="C30" s="29"/>
      <c r="D30" s="29"/>
      <c r="E30" s="29"/>
      <c r="F30" s="41" t="str">
        <f>IF(E30="","",E30*Estimate!$C$5)</f>
        <v/>
      </c>
      <c r="G30" s="29"/>
      <c r="H30" s="29"/>
      <c r="I30" s="51"/>
      <c r="J30" s="29"/>
    </row>
    <row r="31" ht="15.75" customHeight="1">
      <c r="B31" s="55"/>
      <c r="F31" s="49" t="str">
        <f>IF(E31="","",E31*Estimate!$C$5)</f>
        <v/>
      </c>
      <c r="H31" s="43"/>
      <c r="I31" s="55"/>
    </row>
    <row r="32" ht="15.75" customHeight="1">
      <c r="B32" s="55"/>
      <c r="F32" s="49" t="str">
        <f>IF(E32="","",E32*Estimate!$C$5)</f>
        <v/>
      </c>
      <c r="H32" s="43"/>
      <c r="I32" s="55"/>
    </row>
    <row r="33" ht="15.75" customHeight="1">
      <c r="B33" s="55"/>
      <c r="F33" s="49" t="str">
        <f>IF(E33="","",E33*Estimate!$C$5)</f>
        <v/>
      </c>
      <c r="H33" s="43"/>
      <c r="I33" s="55"/>
    </row>
    <row r="34" ht="15.75" customHeight="1">
      <c r="B34" s="55"/>
      <c r="F34" s="49" t="str">
        <f>IF(E34="","",E34*Estimate!$C$5)</f>
        <v/>
      </c>
      <c r="H34" s="43"/>
      <c r="I34" s="55"/>
    </row>
    <row r="35" ht="15.75" customHeight="1">
      <c r="B35" s="55"/>
      <c r="F35" s="49" t="str">
        <f>IF(E35="","",E35*Estimate!$C$5)</f>
        <v/>
      </c>
      <c r="H35" s="43"/>
      <c r="I35" s="55"/>
    </row>
    <row r="36" ht="15.75" customHeight="1">
      <c r="B36" s="55"/>
      <c r="F36" s="49" t="str">
        <f>IF(E36="","",E36*Estimate!$C$5)</f>
        <v/>
      </c>
      <c r="H36" s="43"/>
      <c r="I36" s="55"/>
    </row>
    <row r="37" ht="15.75" customHeight="1">
      <c r="B37" s="55"/>
      <c r="F37" s="49" t="str">
        <f>IF(E37="","",E37*Estimate!$C$5)</f>
        <v/>
      </c>
      <c r="H37" s="43"/>
      <c r="I37" s="55"/>
    </row>
    <row r="38" ht="15.75" customHeight="1">
      <c r="B38" s="55"/>
      <c r="F38" s="49" t="str">
        <f>IF(E38="","",E38*Estimate!$C$5)</f>
        <v/>
      </c>
      <c r="H38" s="43"/>
      <c r="I38" s="55"/>
    </row>
    <row r="39" ht="15.75" customHeight="1">
      <c r="B39" s="55"/>
      <c r="F39" s="49" t="str">
        <f>IF(E39="","",E39*Estimate!$C$5)</f>
        <v/>
      </c>
      <c r="H39" s="43"/>
      <c r="I39" s="55"/>
    </row>
    <row r="40" ht="15.75" customHeight="1">
      <c r="B40" s="55"/>
      <c r="F40" s="49" t="str">
        <f>IF(E40="","",E40*Estimate!$C$5)</f>
        <v/>
      </c>
      <c r="H40" s="43"/>
      <c r="I40" s="55"/>
    </row>
    <row r="41" ht="15.75" customHeight="1">
      <c r="B41" s="55"/>
      <c r="F41" s="49" t="str">
        <f>IF(E41="","",E41*Estimate!$C$5)</f>
        <v/>
      </c>
      <c r="H41" s="43"/>
      <c r="I41" s="55"/>
    </row>
    <row r="42" ht="15.75" customHeight="1">
      <c r="B42" s="55"/>
      <c r="F42" s="49" t="str">
        <f>IF(E42="","",E42*Estimate!$C$5)</f>
        <v/>
      </c>
      <c r="H42" s="43"/>
      <c r="I42" s="55"/>
    </row>
    <row r="43" ht="15.75" customHeight="1">
      <c r="B43" s="55"/>
      <c r="F43" s="49" t="str">
        <f>IF(E43="","",E43*Estimate!$C$5)</f>
        <v/>
      </c>
      <c r="H43" s="43"/>
      <c r="I43" s="55"/>
    </row>
    <row r="44" ht="15.75" customHeight="1">
      <c r="B44" s="55"/>
      <c r="F44" s="49" t="str">
        <f>IF(E44="","",E44*Estimate!$C$5)</f>
        <v/>
      </c>
      <c r="H44" s="43"/>
      <c r="I44" s="55"/>
    </row>
    <row r="45" ht="15.75" customHeight="1">
      <c r="B45" s="55"/>
      <c r="F45" s="49" t="str">
        <f>IF(E45="","",E45*Estimate!$C$5)</f>
        <v/>
      </c>
      <c r="H45" s="43"/>
      <c r="I45" s="55"/>
    </row>
    <row r="46" ht="15.75" customHeight="1">
      <c r="B46" s="55"/>
      <c r="F46" s="49" t="str">
        <f>IF(E46="","",E46*Estimate!$C$5)</f>
        <v/>
      </c>
      <c r="H46" s="43"/>
      <c r="I46" s="55"/>
    </row>
    <row r="47" ht="15.75" customHeight="1">
      <c r="B47" s="55"/>
      <c r="F47" s="49" t="str">
        <f>IF(E47="","",E47*Estimate!$C$5)</f>
        <v/>
      </c>
      <c r="H47" s="43"/>
      <c r="I47" s="55"/>
    </row>
    <row r="48" ht="15.75" customHeight="1">
      <c r="B48" s="55"/>
      <c r="F48" s="49" t="str">
        <f>IF(E48="","",E48*Estimate!$C$5)</f>
        <v/>
      </c>
      <c r="H48" s="43"/>
      <c r="I48" s="55"/>
    </row>
    <row r="49" ht="15.75" customHeight="1">
      <c r="B49" s="55"/>
      <c r="F49" s="49" t="str">
        <f>IF(E49="","",E49*Estimate!$C$5)</f>
        <v/>
      </c>
      <c r="H49" s="43"/>
      <c r="I49" s="55"/>
    </row>
    <row r="50" ht="15.75" customHeight="1">
      <c r="B50" s="55"/>
      <c r="F50" s="49" t="str">
        <f>IF(E50="","",E50*Estimate!$C$5)</f>
        <v/>
      </c>
      <c r="H50" s="43"/>
      <c r="I50" s="55"/>
    </row>
    <row r="51" ht="15.75" customHeight="1">
      <c r="B51" s="55"/>
      <c r="F51" s="49" t="str">
        <f>IF(E51="","",E51*Estimate!$C$5)</f>
        <v/>
      </c>
      <c r="H51" s="43"/>
      <c r="I51" s="55"/>
    </row>
    <row r="52" ht="15.75" customHeight="1">
      <c r="B52" s="55"/>
      <c r="F52" s="49" t="str">
        <f>IF(E52="","",E52*Estimate!$C$5)</f>
        <v/>
      </c>
      <c r="H52" s="43"/>
      <c r="I52" s="55"/>
    </row>
    <row r="53" ht="15.75" customHeight="1">
      <c r="B53" s="55"/>
      <c r="F53" s="49" t="str">
        <f>IF(E53="","",E53*Estimate!$C$5)</f>
        <v/>
      </c>
      <c r="H53" s="43"/>
      <c r="I53" s="55"/>
    </row>
    <row r="54" ht="15.75" customHeight="1">
      <c r="B54" s="55"/>
      <c r="F54" s="49" t="str">
        <f>IF(E54="","",E54*Estimate!$C$5)</f>
        <v/>
      </c>
      <c r="H54" s="43"/>
      <c r="I54" s="55"/>
    </row>
    <row r="55" ht="15.75" customHeight="1">
      <c r="B55" s="55"/>
      <c r="F55" s="49" t="str">
        <f>IF(E55="","",E55*Estimate!$C$5)</f>
        <v/>
      </c>
      <c r="H55" s="43"/>
      <c r="I55" s="55"/>
    </row>
    <row r="56" ht="15.75" customHeight="1">
      <c r="B56" s="55"/>
      <c r="F56" s="49" t="str">
        <f>IF(E56="","",E56*Estimate!$C$5)</f>
        <v/>
      </c>
      <c r="H56" s="43"/>
      <c r="I56" s="55"/>
    </row>
    <row r="57" ht="15.75" customHeight="1">
      <c r="B57" s="55"/>
      <c r="F57" s="49" t="str">
        <f>IF(E57="","",E57*Estimate!$C$5)</f>
        <v/>
      </c>
      <c r="H57" s="43"/>
      <c r="I57" s="55"/>
    </row>
    <row r="58" ht="15.75" customHeight="1">
      <c r="B58" s="55"/>
      <c r="F58" s="49" t="str">
        <f>IF(E58="","",E58*Estimate!$C$5)</f>
        <v/>
      </c>
      <c r="H58" s="43"/>
      <c r="I58" s="55"/>
    </row>
    <row r="59" ht="15.75" customHeight="1">
      <c r="B59" s="55"/>
      <c r="F59" s="49" t="str">
        <f>IF(E59="","",E59*Estimate!$C$5)</f>
        <v/>
      </c>
      <c r="H59" s="43"/>
      <c r="I59" s="55"/>
    </row>
    <row r="60" ht="15.75" customHeight="1">
      <c r="B60" s="55"/>
      <c r="F60" s="49" t="str">
        <f>IF(E60="","",E60*Estimate!$C$5)</f>
        <v/>
      </c>
      <c r="H60" s="43"/>
      <c r="I60" s="55"/>
    </row>
    <row r="61" ht="15.75" customHeight="1">
      <c r="B61" s="55"/>
      <c r="F61" s="49" t="str">
        <f>IF(E61="","",E61*Estimate!$C$5)</f>
        <v/>
      </c>
      <c r="H61" s="43"/>
      <c r="I61" s="55"/>
    </row>
    <row r="62" ht="15.75" customHeight="1">
      <c r="B62" s="55"/>
      <c r="F62" s="49" t="str">
        <f>IF(E62="","",E62*Estimate!$C$5)</f>
        <v/>
      </c>
      <c r="H62" s="43"/>
      <c r="I62" s="55"/>
    </row>
    <row r="63" ht="15.75" customHeight="1">
      <c r="B63" s="55"/>
      <c r="F63" s="49" t="str">
        <f>IF(E63="","",E63*Estimate!$C$5)</f>
        <v/>
      </c>
      <c r="H63" s="43"/>
      <c r="I63" s="55"/>
    </row>
    <row r="64" ht="15.75" customHeight="1">
      <c r="B64" s="55"/>
      <c r="F64" s="49" t="str">
        <f>IF(E64="","",E64*Estimate!$C$5)</f>
        <v/>
      </c>
      <c r="H64" s="43"/>
      <c r="I64" s="55"/>
    </row>
    <row r="65" ht="15.75" customHeight="1">
      <c r="B65" s="55"/>
      <c r="F65" s="49" t="str">
        <f>IF(E65="","",E65*Estimate!$C$5)</f>
        <v/>
      </c>
      <c r="H65" s="43"/>
      <c r="I65" s="55"/>
    </row>
    <row r="66" ht="15.75" customHeight="1">
      <c r="B66" s="55"/>
      <c r="F66" s="49" t="str">
        <f>IF(E66="","",E66*Estimate!$C$5)</f>
        <v/>
      </c>
      <c r="H66" s="43"/>
      <c r="I66" s="55"/>
    </row>
    <row r="67" ht="15.75" customHeight="1">
      <c r="B67" s="55"/>
      <c r="F67" s="49" t="str">
        <f>IF(E67="","",E67*Estimate!$C$5)</f>
        <v/>
      </c>
      <c r="H67" s="43"/>
      <c r="I67" s="55"/>
    </row>
    <row r="68" ht="15.75" customHeight="1">
      <c r="B68" s="55"/>
      <c r="F68" s="49" t="str">
        <f>IF(E68="","",E68*Estimate!$C$5)</f>
        <v/>
      </c>
      <c r="H68" s="43"/>
      <c r="I68" s="55"/>
    </row>
    <row r="69" ht="15.75" customHeight="1">
      <c r="B69" s="55"/>
      <c r="F69" s="49" t="str">
        <f>IF(E69="","",E69*Estimate!$C$5)</f>
        <v/>
      </c>
      <c r="H69" s="43"/>
      <c r="I69" s="55"/>
    </row>
    <row r="70" ht="15.75" customHeight="1">
      <c r="B70" s="55"/>
      <c r="F70" s="49" t="str">
        <f>IF(E70="","",E70*Estimate!$C$5)</f>
        <v/>
      </c>
      <c r="H70" s="43"/>
      <c r="I70" s="55"/>
    </row>
    <row r="71" ht="15.75" customHeight="1">
      <c r="B71" s="55"/>
      <c r="F71" s="49" t="str">
        <f>IF(E71="","",E71*Estimate!$C$5)</f>
        <v/>
      </c>
      <c r="H71" s="43"/>
      <c r="I71" s="55"/>
    </row>
    <row r="72" ht="15.75" customHeight="1">
      <c r="B72" s="55"/>
      <c r="F72" s="49" t="str">
        <f>IF(E72="","",E72*Estimate!$C$5)</f>
        <v/>
      </c>
      <c r="H72" s="43"/>
      <c r="I72" s="55"/>
    </row>
    <row r="73" ht="15.75" customHeight="1">
      <c r="B73" s="55"/>
      <c r="F73" s="49" t="str">
        <f>IF(E73="","",E73*Estimate!$C$5)</f>
        <v/>
      </c>
      <c r="H73" s="43"/>
      <c r="I73" s="55"/>
    </row>
    <row r="74" ht="15.75" customHeight="1">
      <c r="B74" s="55"/>
      <c r="F74" s="49" t="str">
        <f>IF(E74="","",E74*Estimate!$C$5)</f>
        <v/>
      </c>
      <c r="H74" s="43"/>
      <c r="I74" s="55"/>
    </row>
    <row r="75" ht="15.75" customHeight="1">
      <c r="B75" s="55"/>
      <c r="F75" s="49" t="str">
        <f>IF(E75="","",E75*Estimate!$C$5)</f>
        <v/>
      </c>
      <c r="H75" s="43"/>
      <c r="I75" s="55"/>
    </row>
    <row r="76" ht="15.75" customHeight="1">
      <c r="B76" s="55"/>
      <c r="F76" s="49" t="str">
        <f>IF(E76="","",E76*Estimate!$C$5)</f>
        <v/>
      </c>
      <c r="H76" s="43"/>
      <c r="I76" s="55"/>
    </row>
    <row r="77" ht="15.75" customHeight="1">
      <c r="B77" s="55"/>
      <c r="F77" s="49" t="str">
        <f>IF(E77="","",E77*Estimate!$C$5)</f>
        <v/>
      </c>
      <c r="H77" s="43"/>
      <c r="I77" s="55"/>
    </row>
    <row r="78" ht="15.75" customHeight="1">
      <c r="B78" s="55"/>
      <c r="F78" s="49" t="str">
        <f>IF(E78="","",E78*Estimate!$C$5)</f>
        <v/>
      </c>
      <c r="H78" s="43"/>
      <c r="I78" s="55"/>
    </row>
    <row r="79" ht="15.75" customHeight="1">
      <c r="B79" s="55"/>
      <c r="F79" s="49" t="str">
        <f>IF(E79="","",E79*Estimate!$C$5)</f>
        <v/>
      </c>
      <c r="H79" s="43"/>
      <c r="I79" s="55"/>
    </row>
    <row r="80" ht="15.75" customHeight="1">
      <c r="B80" s="55"/>
      <c r="F80" s="49" t="str">
        <f>IF(E80="","",E80*Estimate!$C$5)</f>
        <v/>
      </c>
      <c r="H80" s="43"/>
      <c r="I80" s="55"/>
    </row>
    <row r="81" ht="15.75" customHeight="1">
      <c r="B81" s="55"/>
      <c r="F81" s="49" t="str">
        <f>IF(E81="","",E81*Estimate!$C$5)</f>
        <v/>
      </c>
      <c r="H81" s="43"/>
      <c r="I81" s="55"/>
    </row>
    <row r="82" ht="15.75" customHeight="1">
      <c r="B82" s="55"/>
      <c r="F82" s="49" t="str">
        <f>IF(E82="","",E82*Estimate!$C$5)</f>
        <v/>
      </c>
      <c r="H82" s="43"/>
      <c r="I82" s="55"/>
    </row>
    <row r="83" ht="15.75" customHeight="1">
      <c r="B83" s="55"/>
      <c r="F83" s="49" t="str">
        <f>IF(E83="","",E83*Estimate!$C$5)</f>
        <v/>
      </c>
      <c r="H83" s="43"/>
      <c r="I83" s="55"/>
    </row>
    <row r="84" ht="15.75" customHeight="1">
      <c r="B84" s="55"/>
      <c r="F84" s="49" t="str">
        <f>IF(E84="","",E84*Estimate!$C$5)</f>
        <v/>
      </c>
      <c r="H84" s="43"/>
      <c r="I84" s="55"/>
    </row>
    <row r="85" ht="15.75" customHeight="1">
      <c r="B85" s="55"/>
      <c r="F85" s="49" t="str">
        <f>IF(E85="","",E85*Estimate!$C$5)</f>
        <v/>
      </c>
      <c r="H85" s="43"/>
      <c r="I85" s="55"/>
    </row>
    <row r="86" ht="15.75" customHeight="1">
      <c r="B86" s="55"/>
      <c r="F86" s="49" t="str">
        <f>IF(E86="","",E86*Estimate!$C$5)</f>
        <v/>
      </c>
      <c r="H86" s="43"/>
      <c r="I86" s="55"/>
    </row>
    <row r="87" ht="15.75" customHeight="1">
      <c r="B87" s="55"/>
      <c r="F87" s="49" t="str">
        <f>IF(E87="","",E87*Estimate!$C$5)</f>
        <v/>
      </c>
      <c r="H87" s="43"/>
      <c r="I87" s="55"/>
    </row>
    <row r="88" ht="15.75" customHeight="1">
      <c r="B88" s="55"/>
      <c r="F88" s="49" t="str">
        <f>IF(E88="","",E88*Estimate!$C$5)</f>
        <v/>
      </c>
      <c r="H88" s="43"/>
      <c r="I88" s="55"/>
    </row>
    <row r="89" ht="15.75" customHeight="1">
      <c r="B89" s="55"/>
      <c r="F89" s="49" t="str">
        <f>IF(E89="","",E89*Estimate!$C$5)</f>
        <v/>
      </c>
      <c r="H89" s="43"/>
      <c r="I89" s="55"/>
    </row>
    <row r="90" ht="15.75" customHeight="1">
      <c r="B90" s="55"/>
      <c r="F90" s="49" t="str">
        <f>IF(E90="","",E90*Estimate!$C$5)</f>
        <v/>
      </c>
      <c r="H90" s="43"/>
      <c r="I90" s="55"/>
    </row>
    <row r="91" ht="15.75" customHeight="1">
      <c r="B91" s="55"/>
      <c r="F91" s="49" t="str">
        <f>IF(E91="","",E91*Estimate!$C$5)</f>
        <v/>
      </c>
      <c r="H91" s="43"/>
      <c r="I91" s="55"/>
    </row>
    <row r="92" ht="15.75" customHeight="1">
      <c r="B92" s="55"/>
      <c r="F92" s="49" t="str">
        <f>IF(E92="","",E92*Estimate!$C$5)</f>
        <v/>
      </c>
      <c r="H92" s="43"/>
      <c r="I92" s="55"/>
    </row>
    <row r="93" ht="15.75" customHeight="1">
      <c r="B93" s="55"/>
      <c r="F93" s="49" t="str">
        <f>IF(E93="","",E93*Estimate!$C$5)</f>
        <v/>
      </c>
      <c r="H93" s="43"/>
      <c r="I93" s="55"/>
    </row>
    <row r="94" ht="15.75" customHeight="1">
      <c r="B94" s="55"/>
      <c r="F94" s="49" t="str">
        <f>IF(E94="","",E94*Estimate!$C$5)</f>
        <v/>
      </c>
      <c r="H94" s="43"/>
      <c r="I94" s="55"/>
    </row>
    <row r="95" ht="15.75" customHeight="1">
      <c r="B95" s="55"/>
      <c r="F95" s="49" t="str">
        <f>IF(E95="","",E95*Estimate!$C$5)</f>
        <v/>
      </c>
      <c r="H95" s="43"/>
      <c r="I95" s="55"/>
    </row>
    <row r="96" ht="15.75" customHeight="1">
      <c r="B96" s="55"/>
      <c r="F96" s="49" t="str">
        <f>IF(E96="","",E96*Estimate!$C$5)</f>
        <v/>
      </c>
      <c r="H96" s="43"/>
      <c r="I96" s="55"/>
    </row>
    <row r="97" ht="15.75" customHeight="1">
      <c r="B97" s="55"/>
      <c r="F97" s="49" t="str">
        <f>IF(E97="","",E97*Estimate!$C$5)</f>
        <v/>
      </c>
      <c r="H97" s="43"/>
      <c r="I97" s="55"/>
    </row>
    <row r="98" ht="15.75" customHeight="1">
      <c r="B98" s="55"/>
      <c r="F98" s="49" t="str">
        <f>IF(E98="","",E98*Estimate!$C$5)</f>
        <v/>
      </c>
      <c r="H98" s="43"/>
      <c r="I98" s="55"/>
    </row>
    <row r="99" ht="15.75" customHeight="1">
      <c r="B99" s="55"/>
      <c r="F99" s="49" t="str">
        <f>IF(E99="","",E99*Estimate!$C$5)</f>
        <v/>
      </c>
      <c r="H99" s="43"/>
      <c r="I99" s="55"/>
    </row>
    <row r="100" ht="15.75" customHeight="1">
      <c r="B100" s="55"/>
      <c r="F100" s="49" t="str">
        <f>IF(E100="","",E100*Estimate!$C$5)</f>
        <v/>
      </c>
      <c r="H100" s="43"/>
      <c r="I100" s="55"/>
    </row>
    <row r="101" ht="15.75" customHeight="1">
      <c r="B101" s="55"/>
      <c r="F101" s="49" t="str">
        <f>IF(E101="","",E101*Estimate!$C$5)</f>
        <v/>
      </c>
      <c r="H101" s="43"/>
      <c r="I101" s="55"/>
    </row>
    <row r="102" ht="15.75" customHeight="1">
      <c r="B102" s="55"/>
      <c r="F102" s="49" t="str">
        <f>IF(E102="","",E102*Estimate!$C$5)</f>
        <v/>
      </c>
      <c r="H102" s="43"/>
      <c r="I102" s="55"/>
    </row>
    <row r="103" ht="15.75" customHeight="1">
      <c r="B103" s="55"/>
      <c r="F103" s="49" t="str">
        <f>IF(E103="","",E103*Estimate!$C$5)</f>
        <v/>
      </c>
      <c r="H103" s="43"/>
      <c r="I103" s="55"/>
    </row>
    <row r="104" ht="15.75" customHeight="1">
      <c r="B104" s="55"/>
      <c r="F104" s="49" t="str">
        <f>IF(E104="","",E104*Estimate!$C$5)</f>
        <v/>
      </c>
      <c r="H104" s="43"/>
      <c r="I104" s="55"/>
    </row>
    <row r="105" ht="15.75" customHeight="1">
      <c r="B105" s="55"/>
      <c r="F105" s="49" t="str">
        <f>IF(E105="","",E105*Estimate!$C$5)</f>
        <v/>
      </c>
      <c r="H105" s="43"/>
      <c r="I105" s="55"/>
    </row>
    <row r="106" ht="15.75" customHeight="1">
      <c r="B106" s="55"/>
      <c r="F106" s="49" t="str">
        <f>IF(E106="","",E106*Estimate!$C$5)</f>
        <v/>
      </c>
      <c r="H106" s="43"/>
      <c r="I106" s="55"/>
    </row>
    <row r="107" ht="15.75" customHeight="1">
      <c r="B107" s="55"/>
      <c r="F107" s="49" t="str">
        <f>IF(E107="","",E107*Estimate!$C$5)</f>
        <v/>
      </c>
      <c r="H107" s="43"/>
      <c r="I107" s="55"/>
    </row>
    <row r="108" ht="15.75" customHeight="1">
      <c r="B108" s="55"/>
      <c r="F108" s="49" t="str">
        <f>IF(E108="","",E108*Estimate!$C$5)</f>
        <v/>
      </c>
      <c r="H108" s="43"/>
      <c r="I108" s="55"/>
    </row>
    <row r="109" ht="15.75" customHeight="1">
      <c r="B109" s="55"/>
      <c r="F109" s="49" t="str">
        <f>IF(E109="","",E109*Estimate!$C$5)</f>
        <v/>
      </c>
      <c r="H109" s="43"/>
      <c r="I109" s="55"/>
    </row>
    <row r="110" ht="15.75" customHeight="1">
      <c r="B110" s="55"/>
      <c r="F110" s="49" t="str">
        <f>IF(E110="","",E110*Estimate!$C$5)</f>
        <v/>
      </c>
      <c r="H110" s="43"/>
      <c r="I110" s="55"/>
    </row>
    <row r="111" ht="15.75" customHeight="1">
      <c r="B111" s="55"/>
      <c r="F111" s="49" t="str">
        <f>IF(E111="","",E111*Estimate!$C$5)</f>
        <v/>
      </c>
      <c r="H111" s="43"/>
      <c r="I111" s="55"/>
    </row>
    <row r="112" ht="15.75" customHeight="1">
      <c r="B112" s="55"/>
      <c r="F112" s="49" t="str">
        <f>IF(E112="","",E112*Estimate!$C$5)</f>
        <v/>
      </c>
      <c r="H112" s="43"/>
      <c r="I112" s="55"/>
    </row>
    <row r="113" ht="15.75" customHeight="1">
      <c r="B113" s="55"/>
      <c r="F113" s="49" t="str">
        <f>IF(E113="","",E113*Estimate!$C$5)</f>
        <v/>
      </c>
      <c r="H113" s="43"/>
      <c r="I113" s="55"/>
    </row>
    <row r="114" ht="15.75" customHeight="1">
      <c r="B114" s="55"/>
      <c r="F114" s="49" t="str">
        <f>IF(E114="","",E114*Estimate!$C$5)</f>
        <v/>
      </c>
      <c r="H114" s="43"/>
      <c r="I114" s="55"/>
    </row>
    <row r="115" ht="15.75" customHeight="1">
      <c r="B115" s="55"/>
      <c r="F115" s="49" t="str">
        <f>IF(E115="","",E115*Estimate!$C$5)</f>
        <v/>
      </c>
      <c r="H115" s="43"/>
      <c r="I115" s="55"/>
    </row>
    <row r="116" ht="15.75" customHeight="1">
      <c r="B116" s="55"/>
      <c r="F116" s="49" t="str">
        <f>IF(E116="","",E116*Estimate!$C$5)</f>
        <v/>
      </c>
      <c r="H116" s="43"/>
      <c r="I116" s="55"/>
    </row>
    <row r="117" ht="15.75" customHeight="1">
      <c r="B117" s="55"/>
      <c r="F117" s="49" t="str">
        <f>IF(E117="","",E117*Estimate!$C$5)</f>
        <v/>
      </c>
      <c r="H117" s="43"/>
      <c r="I117" s="55"/>
    </row>
    <row r="118" ht="15.75" customHeight="1">
      <c r="B118" s="55"/>
      <c r="F118" s="49" t="str">
        <f>IF(E118="","",E118*Estimate!$C$5)</f>
        <v/>
      </c>
      <c r="H118" s="43"/>
      <c r="I118" s="55"/>
    </row>
    <row r="119" ht="15.75" customHeight="1">
      <c r="B119" s="55"/>
      <c r="F119" s="49" t="str">
        <f>IF(E119="","",E119*Estimate!$C$5)</f>
        <v/>
      </c>
      <c r="H119" s="43"/>
      <c r="I119" s="55"/>
    </row>
    <row r="120" ht="15.75" customHeight="1">
      <c r="B120" s="55"/>
      <c r="F120" s="49" t="str">
        <f>IF(E120="","",E120*Estimate!$C$5)</f>
        <v/>
      </c>
      <c r="H120" s="43"/>
      <c r="I120" s="55"/>
    </row>
    <row r="121" ht="15.75" customHeight="1">
      <c r="B121" s="55"/>
      <c r="F121" s="49" t="str">
        <f>IF(E121="","",E121*Estimate!$C$5)</f>
        <v/>
      </c>
      <c r="H121" s="43"/>
      <c r="I121" s="55"/>
    </row>
    <row r="122" ht="15.75" customHeight="1">
      <c r="B122" s="55"/>
      <c r="F122" s="49" t="str">
        <f>IF(E122="","",E122*Estimate!$C$5)</f>
        <v/>
      </c>
      <c r="H122" s="43"/>
      <c r="I122" s="55"/>
    </row>
    <row r="123" ht="15.75" customHeight="1">
      <c r="B123" s="55"/>
      <c r="F123" s="49" t="str">
        <f>IF(E123="","",E123*Estimate!$C$5)</f>
        <v/>
      </c>
      <c r="H123" s="43"/>
      <c r="I123" s="55"/>
    </row>
    <row r="124" ht="15.75" customHeight="1">
      <c r="B124" s="55"/>
      <c r="F124" s="49" t="str">
        <f>IF(E124="","",E124*Estimate!$C$5)</f>
        <v/>
      </c>
      <c r="H124" s="43"/>
      <c r="I124" s="55"/>
    </row>
    <row r="125" ht="15.75" customHeight="1">
      <c r="B125" s="55"/>
      <c r="F125" s="49" t="str">
        <f>IF(E125="","",E125*Estimate!$C$5)</f>
        <v/>
      </c>
      <c r="H125" s="43"/>
      <c r="I125" s="55"/>
    </row>
    <row r="126" ht="15.75" customHeight="1">
      <c r="B126" s="55"/>
      <c r="F126" s="49" t="str">
        <f>IF(E126="","",E126*Estimate!$C$5)</f>
        <v/>
      </c>
      <c r="H126" s="43"/>
      <c r="I126" s="55"/>
    </row>
    <row r="127" ht="15.75" customHeight="1">
      <c r="B127" s="55"/>
      <c r="F127" s="49" t="str">
        <f>IF(E127="","",E127*Estimate!$C$5)</f>
        <v/>
      </c>
      <c r="H127" s="43"/>
      <c r="I127" s="55"/>
    </row>
    <row r="128" ht="15.75" customHeight="1">
      <c r="B128" s="55"/>
      <c r="F128" s="49" t="str">
        <f>IF(E128="","",E128*Estimate!$C$5)</f>
        <v/>
      </c>
      <c r="H128" s="43"/>
      <c r="I128" s="55"/>
    </row>
    <row r="129" ht="15.75" customHeight="1">
      <c r="B129" s="55"/>
      <c r="F129" s="49" t="str">
        <f>IF(E129="","",E129*Estimate!$C$5)</f>
        <v/>
      </c>
      <c r="H129" s="43"/>
      <c r="I129" s="55"/>
    </row>
    <row r="130" ht="15.75" customHeight="1">
      <c r="B130" s="55"/>
      <c r="F130" s="49" t="str">
        <f>IF(E130="","",E130*Estimate!$C$5)</f>
        <v/>
      </c>
      <c r="H130" s="43"/>
      <c r="I130" s="55"/>
    </row>
    <row r="131" ht="15.75" customHeight="1">
      <c r="B131" s="55"/>
      <c r="F131" s="49" t="str">
        <f>IF(E131="","",E131*Estimate!$C$5)</f>
        <v/>
      </c>
      <c r="H131" s="43"/>
      <c r="I131" s="55"/>
    </row>
    <row r="132" ht="15.75" customHeight="1">
      <c r="B132" s="55"/>
      <c r="F132" s="49" t="str">
        <f>IF(E132="","",E132*Estimate!$C$5)</f>
        <v/>
      </c>
      <c r="H132" s="43"/>
      <c r="I132" s="55"/>
    </row>
    <row r="133" ht="15.75" customHeight="1">
      <c r="B133" s="55"/>
      <c r="F133" s="49" t="str">
        <f>IF(E133="","",E133*Estimate!$C$5)</f>
        <v/>
      </c>
      <c r="H133" s="43"/>
      <c r="I133" s="55"/>
    </row>
    <row r="134" ht="15.75" customHeight="1">
      <c r="B134" s="55"/>
      <c r="F134" s="49" t="str">
        <f>IF(E134="","",E134*Estimate!$C$5)</f>
        <v/>
      </c>
      <c r="H134" s="43"/>
      <c r="I134" s="55"/>
    </row>
    <row r="135" ht="15.75" customHeight="1">
      <c r="B135" s="55"/>
      <c r="F135" s="49" t="str">
        <f>IF(E135="","",E135*Estimate!$C$5)</f>
        <v/>
      </c>
      <c r="H135" s="43"/>
      <c r="I135" s="55"/>
    </row>
    <row r="136" ht="15.75" customHeight="1">
      <c r="B136" s="55"/>
      <c r="F136" s="49" t="str">
        <f>IF(E136="","",E136*Estimate!$C$5)</f>
        <v/>
      </c>
      <c r="H136" s="43"/>
      <c r="I136" s="55"/>
    </row>
    <row r="137" ht="15.75" customHeight="1">
      <c r="B137" s="55"/>
      <c r="F137" s="49" t="str">
        <f>IF(E137="","",E137*Estimate!$C$5)</f>
        <v/>
      </c>
      <c r="H137" s="43"/>
      <c r="I137" s="55"/>
    </row>
    <row r="138" ht="15.75" customHeight="1">
      <c r="B138" s="55"/>
      <c r="F138" s="49" t="str">
        <f>IF(E138="","",E138*Estimate!$C$5)</f>
        <v/>
      </c>
      <c r="H138" s="43"/>
      <c r="I138" s="55"/>
    </row>
    <row r="139" ht="15.75" customHeight="1">
      <c r="B139" s="55"/>
      <c r="F139" s="49" t="str">
        <f>IF(E139="","",E139*Estimate!$C$5)</f>
        <v/>
      </c>
      <c r="H139" s="43"/>
      <c r="I139" s="55"/>
    </row>
    <row r="140" ht="15.75" customHeight="1">
      <c r="B140" s="55"/>
      <c r="F140" s="49" t="str">
        <f>IF(E140="","",E140*Estimate!$C$5)</f>
        <v/>
      </c>
      <c r="H140" s="43"/>
      <c r="I140" s="55"/>
    </row>
    <row r="141" ht="15.75" customHeight="1">
      <c r="B141" s="55"/>
      <c r="F141" s="49" t="str">
        <f>IF(E141="","",E141*Estimate!$C$5)</f>
        <v/>
      </c>
      <c r="H141" s="43"/>
      <c r="I141" s="55"/>
    </row>
    <row r="142" ht="15.75" customHeight="1">
      <c r="B142" s="55"/>
      <c r="F142" s="49" t="str">
        <f>IF(E142="","",E142*Estimate!$C$5)</f>
        <v/>
      </c>
      <c r="H142" s="43"/>
      <c r="I142" s="55"/>
    </row>
    <row r="143" ht="15.75" customHeight="1">
      <c r="B143" s="55"/>
      <c r="F143" s="49" t="str">
        <f>IF(E143="","",E143*Estimate!$C$5)</f>
        <v/>
      </c>
      <c r="H143" s="43"/>
      <c r="I143" s="55"/>
    </row>
    <row r="144" ht="15.75" customHeight="1">
      <c r="B144" s="55"/>
      <c r="F144" s="49" t="str">
        <f>IF(E144="","",E144*Estimate!$C$5)</f>
        <v/>
      </c>
      <c r="H144" s="43"/>
      <c r="I144" s="55"/>
    </row>
    <row r="145" ht="15.75" customHeight="1">
      <c r="B145" s="55"/>
      <c r="F145" s="49" t="str">
        <f>IF(E145="","",E145*Estimate!$C$5)</f>
        <v/>
      </c>
      <c r="H145" s="43"/>
      <c r="I145" s="55"/>
    </row>
    <row r="146" ht="15.75" customHeight="1">
      <c r="B146" s="55"/>
      <c r="F146" s="49" t="str">
        <f>IF(E146="","",E146*Estimate!$C$5)</f>
        <v/>
      </c>
      <c r="H146" s="43"/>
      <c r="I146" s="55"/>
    </row>
    <row r="147" ht="15.75" customHeight="1">
      <c r="B147" s="55"/>
      <c r="F147" s="49" t="str">
        <f>IF(E147="","",E147*Estimate!$C$5)</f>
        <v/>
      </c>
      <c r="H147" s="43"/>
      <c r="I147" s="55"/>
    </row>
    <row r="148" ht="15.75" customHeight="1">
      <c r="B148" s="55"/>
      <c r="F148" s="49" t="str">
        <f>IF(E148="","",E148*Estimate!$C$5)</f>
        <v/>
      </c>
      <c r="H148" s="43"/>
      <c r="I148" s="55"/>
    </row>
    <row r="149" ht="15.75" customHeight="1">
      <c r="B149" s="55"/>
      <c r="F149" s="49" t="str">
        <f>IF(E149="","",E149*Estimate!$C$5)</f>
        <v/>
      </c>
      <c r="H149" s="43"/>
      <c r="I149" s="55"/>
    </row>
    <row r="150" ht="15.75" customHeight="1">
      <c r="B150" s="55"/>
      <c r="F150" s="49" t="str">
        <f>IF(E150="","",E150*Estimate!$C$5)</f>
        <v/>
      </c>
      <c r="H150" s="43"/>
      <c r="I150" s="55"/>
    </row>
    <row r="151" ht="15.75" customHeight="1">
      <c r="B151" s="55"/>
      <c r="F151" s="49" t="str">
        <f>IF(E151="","",E151*Estimate!$C$5)</f>
        <v/>
      </c>
      <c r="H151" s="43"/>
      <c r="I151" s="55"/>
    </row>
    <row r="152" ht="15.75" customHeight="1">
      <c r="B152" s="55"/>
      <c r="F152" s="49" t="str">
        <f>IF(E152="","",E152*Estimate!$C$5)</f>
        <v/>
      </c>
      <c r="H152" s="43"/>
      <c r="I152" s="55"/>
    </row>
    <row r="153" ht="15.75" customHeight="1">
      <c r="B153" s="55"/>
      <c r="F153" s="49" t="str">
        <f>IF(E153="","",E153*Estimate!$C$5)</f>
        <v/>
      </c>
      <c r="H153" s="43"/>
      <c r="I153" s="55"/>
    </row>
    <row r="154" ht="15.75" customHeight="1">
      <c r="B154" s="55"/>
      <c r="F154" s="49" t="str">
        <f>IF(E154="","",E154*Estimate!$C$5)</f>
        <v/>
      </c>
      <c r="H154" s="43"/>
      <c r="I154" s="55"/>
    </row>
    <row r="155" ht="15.75" customHeight="1">
      <c r="B155" s="55"/>
      <c r="F155" s="49" t="str">
        <f>IF(E155="","",E155*Estimate!$C$5)</f>
        <v/>
      </c>
      <c r="H155" s="43"/>
      <c r="I155" s="55"/>
    </row>
    <row r="156" ht="15.75" customHeight="1">
      <c r="B156" s="55"/>
      <c r="F156" s="49" t="str">
        <f>IF(E156="","",E156*Estimate!$C$5)</f>
        <v/>
      </c>
      <c r="H156" s="43"/>
      <c r="I156" s="55"/>
    </row>
    <row r="157" ht="15.75" customHeight="1">
      <c r="B157" s="55"/>
      <c r="F157" s="49" t="str">
        <f>IF(E157="","",E157*Estimate!$C$5)</f>
        <v/>
      </c>
      <c r="H157" s="43"/>
      <c r="I157" s="55"/>
    </row>
    <row r="158" ht="15.75" customHeight="1">
      <c r="B158" s="55"/>
      <c r="F158" s="49" t="str">
        <f>IF(E158="","",E158*Estimate!$C$5)</f>
        <v/>
      </c>
      <c r="H158" s="43"/>
      <c r="I158" s="55"/>
    </row>
    <row r="159" ht="15.75" customHeight="1">
      <c r="B159" s="55"/>
      <c r="F159" s="49" t="str">
        <f>IF(E159="","",E159*Estimate!$C$5)</f>
        <v/>
      </c>
      <c r="H159" s="43"/>
      <c r="I159" s="55"/>
    </row>
    <row r="160" ht="15.75" customHeight="1">
      <c r="B160" s="55"/>
      <c r="F160" s="49" t="str">
        <f>IF(E160="","",E160*Estimate!$C$5)</f>
        <v/>
      </c>
      <c r="H160" s="43"/>
      <c r="I160" s="55"/>
    </row>
    <row r="161" ht="15.75" customHeight="1">
      <c r="B161" s="55"/>
      <c r="F161" s="49" t="str">
        <f>IF(E161="","",E161*Estimate!$C$5)</f>
        <v/>
      </c>
      <c r="H161" s="43"/>
      <c r="I161" s="55"/>
    </row>
    <row r="162" ht="15.75" customHeight="1">
      <c r="B162" s="55"/>
      <c r="F162" s="49" t="str">
        <f>IF(E162="","",E162*Estimate!$C$5)</f>
        <v/>
      </c>
      <c r="H162" s="43"/>
      <c r="I162" s="55"/>
    </row>
    <row r="163" ht="15.75" customHeight="1">
      <c r="B163" s="55"/>
      <c r="F163" s="49" t="str">
        <f>IF(E163="","",E163*Estimate!$C$5)</f>
        <v/>
      </c>
      <c r="H163" s="43"/>
      <c r="I163" s="55"/>
    </row>
    <row r="164" ht="15.75" customHeight="1">
      <c r="B164" s="55"/>
      <c r="F164" s="49" t="str">
        <f>IF(E164="","",E164*Estimate!$C$5)</f>
        <v/>
      </c>
      <c r="H164" s="43"/>
      <c r="I164" s="55"/>
    </row>
    <row r="165" ht="15.75" customHeight="1">
      <c r="B165" s="55"/>
      <c r="F165" s="49" t="str">
        <f>IF(E165="","",E165*Estimate!$C$5)</f>
        <v/>
      </c>
      <c r="H165" s="43"/>
      <c r="I165" s="55"/>
    </row>
    <row r="166" ht="15.75" customHeight="1">
      <c r="B166" s="55"/>
      <c r="F166" s="49" t="str">
        <f>IF(E166="","",E166*Estimate!$C$5)</f>
        <v/>
      </c>
      <c r="H166" s="43"/>
      <c r="I166" s="55"/>
    </row>
    <row r="167" ht="15.75" customHeight="1">
      <c r="B167" s="55"/>
      <c r="F167" s="49" t="str">
        <f>IF(E167="","",E167*Estimate!$C$5)</f>
        <v/>
      </c>
      <c r="H167" s="43"/>
      <c r="I167" s="55"/>
    </row>
    <row r="168" ht="15.75" customHeight="1">
      <c r="B168" s="55"/>
      <c r="F168" s="49" t="str">
        <f>IF(E168="","",E168*Estimate!$C$5)</f>
        <v/>
      </c>
      <c r="H168" s="43"/>
      <c r="I168" s="55"/>
    </row>
    <row r="169" ht="15.75" customHeight="1">
      <c r="B169" s="55"/>
      <c r="F169" s="49" t="str">
        <f>IF(E169="","",E169*Estimate!$C$5)</f>
        <v/>
      </c>
      <c r="H169" s="43"/>
      <c r="I169" s="55"/>
    </row>
    <row r="170" ht="15.75" customHeight="1">
      <c r="B170" s="55"/>
      <c r="F170" s="49" t="str">
        <f>IF(E170="","",E170*Estimate!$C$5)</f>
        <v/>
      </c>
      <c r="H170" s="43"/>
      <c r="I170" s="55"/>
    </row>
    <row r="171" ht="15.75" customHeight="1">
      <c r="B171" s="55"/>
      <c r="F171" s="49" t="str">
        <f>IF(E171="","",E171*Estimate!$C$5)</f>
        <v/>
      </c>
      <c r="H171" s="43"/>
      <c r="I171" s="55"/>
    </row>
    <row r="172" ht="15.75" customHeight="1">
      <c r="B172" s="55"/>
      <c r="F172" s="49" t="str">
        <f>IF(E172="","",E172*Estimate!$C$5)</f>
        <v/>
      </c>
      <c r="H172" s="43"/>
      <c r="I172" s="55"/>
    </row>
    <row r="173" ht="15.75" customHeight="1">
      <c r="B173" s="55"/>
      <c r="F173" s="49" t="str">
        <f>IF(E173="","",E173*Estimate!$C$5)</f>
        <v/>
      </c>
      <c r="H173" s="43"/>
      <c r="I173" s="55"/>
    </row>
    <row r="174" ht="15.75" customHeight="1">
      <c r="B174" s="55"/>
      <c r="F174" s="49" t="str">
        <f>IF(E174="","",E174*Estimate!$C$5)</f>
        <v/>
      </c>
      <c r="H174" s="43"/>
      <c r="I174" s="55"/>
    </row>
    <row r="175" ht="15.75" customHeight="1">
      <c r="B175" s="55"/>
      <c r="F175" s="49" t="str">
        <f>IF(E175="","",E175*Estimate!$C$5)</f>
        <v/>
      </c>
      <c r="H175" s="43"/>
      <c r="I175" s="55"/>
    </row>
    <row r="176" ht="15.75" customHeight="1">
      <c r="B176" s="55"/>
      <c r="F176" s="49" t="str">
        <f>IF(E176="","",E176*Estimate!$C$5)</f>
        <v/>
      </c>
      <c r="H176" s="43"/>
      <c r="I176" s="55"/>
    </row>
    <row r="177" ht="15.75" customHeight="1">
      <c r="B177" s="55"/>
      <c r="F177" s="49" t="str">
        <f>IF(E177="","",E177*Estimate!$C$5)</f>
        <v/>
      </c>
      <c r="H177" s="43"/>
      <c r="I177" s="55"/>
    </row>
    <row r="178" ht="15.75" customHeight="1">
      <c r="B178" s="55"/>
      <c r="F178" s="49" t="str">
        <f>IF(E178="","",E178*Estimate!$C$5)</f>
        <v/>
      </c>
      <c r="H178" s="43"/>
      <c r="I178" s="55"/>
    </row>
    <row r="179" ht="15.75" customHeight="1">
      <c r="B179" s="55"/>
      <c r="F179" s="49" t="str">
        <f>IF(E179="","",E179*Estimate!$C$5)</f>
        <v/>
      </c>
      <c r="H179" s="43"/>
      <c r="I179" s="55"/>
    </row>
    <row r="180" ht="15.75" customHeight="1">
      <c r="B180" s="55"/>
      <c r="F180" s="49" t="str">
        <f>IF(E180="","",E180*Estimate!$C$5)</f>
        <v/>
      </c>
      <c r="H180" s="43"/>
      <c r="I180" s="55"/>
    </row>
    <row r="181" ht="15.75" customHeight="1">
      <c r="B181" s="55"/>
      <c r="F181" s="49" t="str">
        <f>IF(E181="","",E181*Estimate!$C$5)</f>
        <v/>
      </c>
      <c r="H181" s="43"/>
      <c r="I181" s="55"/>
    </row>
    <row r="182" ht="15.75" customHeight="1">
      <c r="B182" s="55"/>
      <c r="F182" s="49" t="str">
        <f>IF(E182="","",E182*Estimate!$C$5)</f>
        <v/>
      </c>
      <c r="H182" s="43"/>
      <c r="I182" s="55"/>
    </row>
    <row r="183" ht="15.75" customHeight="1">
      <c r="B183" s="55"/>
      <c r="F183" s="49" t="str">
        <f>IF(E183="","",E183*Estimate!$C$5)</f>
        <v/>
      </c>
      <c r="H183" s="43"/>
      <c r="I183" s="55"/>
    </row>
    <row r="184" ht="15.75" customHeight="1">
      <c r="B184" s="55"/>
      <c r="F184" s="49" t="str">
        <f>IF(E184="","",E184*Estimate!$C$5)</f>
        <v/>
      </c>
      <c r="H184" s="43"/>
      <c r="I184" s="55"/>
    </row>
    <row r="185" ht="15.75" customHeight="1">
      <c r="B185" s="55"/>
      <c r="F185" s="49" t="str">
        <f>IF(E185="","",E185*Estimate!$C$5)</f>
        <v/>
      </c>
      <c r="H185" s="43"/>
      <c r="I185" s="55"/>
    </row>
    <row r="186" ht="15.75" customHeight="1">
      <c r="B186" s="55"/>
      <c r="F186" s="49" t="str">
        <f>IF(E186="","",E186*Estimate!$C$5)</f>
        <v/>
      </c>
      <c r="H186" s="43"/>
      <c r="I186" s="55"/>
    </row>
    <row r="187" ht="15.75" customHeight="1">
      <c r="B187" s="55"/>
      <c r="F187" s="49" t="str">
        <f>IF(E187="","",E187*Estimate!$C$5)</f>
        <v/>
      </c>
      <c r="H187" s="43"/>
      <c r="I187" s="55"/>
    </row>
    <row r="188" ht="15.75" customHeight="1">
      <c r="B188" s="55"/>
      <c r="F188" s="49" t="str">
        <f>IF(E188="","",E188*Estimate!$C$5)</f>
        <v/>
      </c>
      <c r="H188" s="43"/>
      <c r="I188" s="55"/>
    </row>
    <row r="189" ht="15.75" customHeight="1">
      <c r="B189" s="55"/>
      <c r="F189" s="49" t="str">
        <f>IF(E189="","",E189*Estimate!$C$5)</f>
        <v/>
      </c>
      <c r="H189" s="43"/>
      <c r="I189" s="55"/>
    </row>
    <row r="190" ht="15.75" customHeight="1">
      <c r="B190" s="55"/>
      <c r="F190" s="49" t="str">
        <f>IF(E190="","",E190*Estimate!$C$5)</f>
        <v/>
      </c>
      <c r="H190" s="43"/>
      <c r="I190" s="55"/>
    </row>
    <row r="191" ht="15.75" customHeight="1">
      <c r="B191" s="55"/>
      <c r="F191" s="49" t="str">
        <f>IF(E191="","",E191*Estimate!$C$5)</f>
        <v/>
      </c>
      <c r="H191" s="43"/>
      <c r="I191" s="55"/>
    </row>
    <row r="192" ht="15.75" customHeight="1">
      <c r="B192" s="55"/>
      <c r="F192" s="49" t="str">
        <f>IF(E192="","",E192*Estimate!$C$5)</f>
        <v/>
      </c>
      <c r="H192" s="43"/>
      <c r="I192" s="55"/>
    </row>
    <row r="193" ht="15.75" customHeight="1">
      <c r="B193" s="55"/>
      <c r="F193" s="49" t="str">
        <f>IF(E193="","",E193*Estimate!$C$5)</f>
        <v/>
      </c>
      <c r="H193" s="43"/>
      <c r="I193" s="55"/>
    </row>
    <row r="194" ht="15.75" customHeight="1">
      <c r="B194" s="55"/>
      <c r="F194" s="49" t="str">
        <f>IF(E194="","",E194*Estimate!$C$5)</f>
        <v/>
      </c>
      <c r="H194" s="43"/>
      <c r="I194" s="55"/>
    </row>
    <row r="195" ht="15.75" customHeight="1">
      <c r="B195" s="55"/>
      <c r="F195" s="49" t="str">
        <f>IF(E195="","",E195*Estimate!$C$5)</f>
        <v/>
      </c>
      <c r="H195" s="43"/>
      <c r="I195" s="55"/>
    </row>
    <row r="196" ht="15.75" customHeight="1">
      <c r="B196" s="55"/>
      <c r="F196" s="49" t="str">
        <f>IF(E196="","",E196*Estimate!$C$5)</f>
        <v/>
      </c>
      <c r="H196" s="43"/>
      <c r="I196" s="55"/>
    </row>
    <row r="197" ht="15.75" customHeight="1">
      <c r="B197" s="55"/>
      <c r="F197" s="49" t="str">
        <f>IF(E197="","",E197*Estimate!$C$5)</f>
        <v/>
      </c>
      <c r="H197" s="43"/>
      <c r="I197" s="55"/>
    </row>
    <row r="198" ht="15.75" customHeight="1">
      <c r="B198" s="55"/>
      <c r="F198" s="49" t="str">
        <f>IF(E198="","",E198*Estimate!$C$5)</f>
        <v/>
      </c>
      <c r="H198" s="43"/>
      <c r="I198" s="55"/>
    </row>
    <row r="199" ht="15.75" customHeight="1">
      <c r="B199" s="55"/>
      <c r="F199" s="49" t="str">
        <f>IF(E199="","",E199*Estimate!$C$5)</f>
        <v/>
      </c>
      <c r="H199" s="43"/>
      <c r="I199" s="55"/>
    </row>
    <row r="200" ht="15.75" customHeight="1">
      <c r="B200" s="55"/>
      <c r="F200" s="49" t="str">
        <f>IF(E200="","",E200*Estimate!$C$5)</f>
        <v/>
      </c>
      <c r="H200" s="43"/>
      <c r="I200" s="55"/>
    </row>
    <row r="201" ht="15.75" customHeight="1">
      <c r="B201" s="55"/>
      <c r="F201" s="49" t="str">
        <f>IF(E201="","",E201*Estimate!$C$5)</f>
        <v/>
      </c>
      <c r="H201" s="43"/>
      <c r="I201" s="55"/>
    </row>
    <row r="202" ht="15.75" customHeight="1">
      <c r="B202" s="55"/>
      <c r="F202" s="49" t="str">
        <f>IF(E202="","",E202*Estimate!$C$5)</f>
        <v/>
      </c>
      <c r="H202" s="43"/>
      <c r="I202" s="55"/>
    </row>
    <row r="203" ht="15.75" customHeight="1">
      <c r="B203" s="55"/>
      <c r="F203" s="49" t="str">
        <f>IF(E203="","",E203*Estimate!$C$5)</f>
        <v/>
      </c>
      <c r="H203" s="43"/>
      <c r="I203" s="55"/>
    </row>
    <row r="204" ht="15.75" customHeight="1">
      <c r="B204" s="55"/>
      <c r="F204" s="49" t="str">
        <f>IF(E204="","",E204*Estimate!$C$5)</f>
        <v/>
      </c>
      <c r="H204" s="43"/>
      <c r="I204" s="55"/>
    </row>
    <row r="205" ht="15.75" customHeight="1">
      <c r="B205" s="55"/>
      <c r="F205" s="49" t="str">
        <f>IF(E205="","",E205*Estimate!$C$5)</f>
        <v/>
      </c>
      <c r="H205" s="43"/>
      <c r="I205" s="55"/>
    </row>
    <row r="206" ht="15.75" customHeight="1">
      <c r="B206" s="55"/>
      <c r="F206" s="49" t="str">
        <f>IF(E206="","",E206*Estimate!$C$5)</f>
        <v/>
      </c>
      <c r="H206" s="43"/>
      <c r="I206" s="55"/>
    </row>
    <row r="207" ht="15.75" customHeight="1">
      <c r="B207" s="55"/>
      <c r="F207" s="49" t="str">
        <f>IF(E207="","",E207*Estimate!$C$5)</f>
        <v/>
      </c>
      <c r="H207" s="43"/>
      <c r="I207" s="55"/>
    </row>
    <row r="208" ht="15.75" customHeight="1">
      <c r="H208" s="43"/>
    </row>
    <row r="209" ht="15.75" customHeight="1">
      <c r="H209" s="43"/>
    </row>
    <row r="210" ht="15.75" customHeight="1">
      <c r="H210" s="43"/>
    </row>
    <row r="211" ht="15.75" customHeight="1">
      <c r="H211" s="43"/>
    </row>
    <row r="212" ht="15.75" customHeight="1">
      <c r="H212" s="43"/>
    </row>
    <row r="213" ht="15.75" customHeight="1">
      <c r="H213" s="43"/>
    </row>
    <row r="214" ht="15.75" customHeight="1">
      <c r="H214" s="43"/>
    </row>
    <row r="215" ht="15.75" customHeight="1">
      <c r="H215" s="43"/>
    </row>
    <row r="216" ht="15.75" customHeight="1">
      <c r="H216" s="43"/>
    </row>
    <row r="217" ht="15.75" customHeight="1">
      <c r="H217" s="43"/>
    </row>
    <row r="218" ht="15.75" customHeight="1">
      <c r="H218" s="43"/>
    </row>
    <row r="219" ht="15.75" customHeight="1">
      <c r="H219" s="43"/>
    </row>
    <row r="220" ht="15.75" customHeight="1">
      <c r="H220" s="43"/>
    </row>
    <row r="221" ht="15.75" customHeight="1">
      <c r="H221" s="43"/>
    </row>
    <row r="222" ht="15.75" customHeight="1">
      <c r="H222" s="43"/>
    </row>
    <row r="223" ht="15.75" customHeight="1">
      <c r="H223" s="43"/>
    </row>
    <row r="224" ht="15.75" customHeight="1">
      <c r="H224" s="43"/>
    </row>
    <row r="225" ht="15.75" customHeight="1">
      <c r="H225" s="43"/>
    </row>
    <row r="226" ht="15.75" customHeight="1">
      <c r="H226" s="43"/>
    </row>
    <row r="227" ht="15.75" customHeight="1">
      <c r="H227" s="43"/>
    </row>
    <row r="228" ht="15.75" customHeight="1">
      <c r="H228" s="43"/>
    </row>
    <row r="229" ht="15.75" customHeight="1">
      <c r="H229" s="43"/>
    </row>
    <row r="230" ht="15.75" customHeight="1">
      <c r="H230" s="43"/>
    </row>
    <row r="231" ht="15.75" customHeight="1">
      <c r="H231" s="43"/>
    </row>
    <row r="232" ht="15.75" customHeight="1">
      <c r="H232" s="43"/>
    </row>
    <row r="233" ht="15.75" customHeight="1">
      <c r="H233" s="43"/>
    </row>
    <row r="234" ht="15.75" customHeight="1">
      <c r="H234" s="43"/>
    </row>
    <row r="235" ht="15.75" customHeight="1">
      <c r="H235" s="43"/>
    </row>
    <row r="236" ht="15.75" customHeight="1">
      <c r="H236" s="43"/>
    </row>
    <row r="237" ht="15.75" customHeight="1">
      <c r="H237" s="43"/>
    </row>
    <row r="238" ht="15.75" customHeight="1">
      <c r="H238" s="43"/>
    </row>
    <row r="239" ht="15.75" customHeight="1">
      <c r="H239" s="43"/>
    </row>
    <row r="240" ht="15.75" customHeight="1">
      <c r="H240" s="43"/>
    </row>
    <row r="241" ht="15.75" customHeight="1">
      <c r="H241" s="43"/>
    </row>
    <row r="242" ht="15.75" customHeight="1">
      <c r="H242" s="43"/>
    </row>
    <row r="243" ht="15.75" customHeight="1">
      <c r="H243" s="43"/>
    </row>
    <row r="244" ht="15.75" customHeight="1">
      <c r="H244" s="43"/>
    </row>
    <row r="245" ht="15.75" customHeight="1">
      <c r="H245" s="43"/>
    </row>
    <row r="246" ht="15.75" customHeight="1">
      <c r="H246" s="43"/>
    </row>
    <row r="247" ht="15.75" customHeight="1">
      <c r="H247" s="43"/>
    </row>
    <row r="248" ht="15.75" customHeight="1">
      <c r="H248" s="43"/>
    </row>
    <row r="249" ht="15.75" customHeight="1">
      <c r="H249" s="43"/>
    </row>
    <row r="250" ht="15.75" customHeight="1">
      <c r="H250" s="43"/>
    </row>
    <row r="251" ht="15.75" customHeight="1">
      <c r="H251" s="43"/>
    </row>
    <row r="252" ht="15.75" customHeight="1">
      <c r="H252" s="43"/>
    </row>
    <row r="253" ht="15.75" customHeight="1">
      <c r="H253" s="43"/>
    </row>
    <row r="254" ht="15.75" customHeight="1">
      <c r="H254" s="43"/>
    </row>
    <row r="255" ht="15.75" customHeight="1">
      <c r="H255" s="43"/>
    </row>
    <row r="256" ht="15.75" customHeight="1">
      <c r="H256" s="43"/>
    </row>
    <row r="257" ht="15.75" customHeight="1">
      <c r="H257" s="43"/>
    </row>
    <row r="258" ht="15.75" customHeight="1">
      <c r="H258" s="43"/>
    </row>
    <row r="259" ht="15.75" customHeight="1">
      <c r="H259" s="43"/>
    </row>
    <row r="260" ht="15.75" customHeight="1">
      <c r="H260" s="43"/>
    </row>
    <row r="261" ht="15.75" customHeight="1">
      <c r="H261" s="43"/>
    </row>
    <row r="262" ht="15.75" customHeight="1">
      <c r="H262" s="43"/>
    </row>
    <row r="263" ht="15.75" customHeight="1">
      <c r="H263" s="43"/>
    </row>
    <row r="264" ht="15.75" customHeight="1">
      <c r="H264" s="43"/>
    </row>
    <row r="265" ht="15.75" customHeight="1">
      <c r="H265" s="43"/>
    </row>
    <row r="266" ht="15.75" customHeight="1">
      <c r="H266" s="43"/>
    </row>
    <row r="267" ht="15.75" customHeight="1">
      <c r="H267" s="43"/>
    </row>
    <row r="268" ht="15.75" customHeight="1">
      <c r="H268" s="43"/>
    </row>
    <row r="269" ht="15.75" customHeight="1">
      <c r="H269" s="43"/>
    </row>
    <row r="270" ht="15.75" customHeight="1">
      <c r="H270" s="43"/>
    </row>
    <row r="271" ht="15.75" customHeight="1">
      <c r="H271" s="43"/>
    </row>
    <row r="272" ht="15.75" customHeight="1">
      <c r="H272" s="43"/>
    </row>
    <row r="273" ht="15.75" customHeight="1">
      <c r="H273" s="43"/>
    </row>
    <row r="274" ht="15.75" customHeight="1">
      <c r="H274" s="43"/>
    </row>
    <row r="275" ht="15.75" customHeight="1">
      <c r="H275" s="43"/>
    </row>
    <row r="276" ht="15.75" customHeight="1">
      <c r="H276" s="43"/>
    </row>
    <row r="277" ht="15.75" customHeight="1">
      <c r="H277" s="43"/>
    </row>
    <row r="278" ht="15.75" customHeight="1">
      <c r="H278" s="43"/>
    </row>
    <row r="279" ht="15.75" customHeight="1">
      <c r="H279" s="43"/>
    </row>
    <row r="280" ht="15.75" customHeight="1">
      <c r="H280" s="43"/>
    </row>
    <row r="281" ht="15.75" customHeight="1">
      <c r="H281" s="43"/>
    </row>
    <row r="282" ht="15.75" customHeight="1">
      <c r="H282" s="43"/>
    </row>
    <row r="283" ht="15.75" customHeight="1">
      <c r="H283" s="43"/>
    </row>
    <row r="284" ht="15.75" customHeight="1">
      <c r="H284" s="43"/>
    </row>
    <row r="285" ht="15.75" customHeight="1">
      <c r="H285" s="43"/>
    </row>
    <row r="286" ht="15.75" customHeight="1">
      <c r="H286" s="43"/>
    </row>
    <row r="287" ht="15.75" customHeight="1">
      <c r="H287" s="43"/>
    </row>
    <row r="288" ht="15.75" customHeight="1">
      <c r="H288" s="43"/>
    </row>
    <row r="289" ht="15.75" customHeight="1">
      <c r="H289" s="43"/>
    </row>
    <row r="290" ht="15.75" customHeight="1">
      <c r="H290" s="43"/>
    </row>
    <row r="291" ht="15.75" customHeight="1">
      <c r="H291" s="43"/>
    </row>
    <row r="292" ht="15.75" customHeight="1">
      <c r="H292" s="43"/>
    </row>
    <row r="293" ht="15.75" customHeight="1">
      <c r="H293" s="43"/>
    </row>
    <row r="294" ht="15.75" customHeight="1">
      <c r="H294" s="43"/>
    </row>
    <row r="295" ht="15.75" customHeight="1">
      <c r="H295" s="43"/>
    </row>
    <row r="296" ht="15.75" customHeight="1">
      <c r="H296" s="43"/>
    </row>
    <row r="297" ht="15.75" customHeight="1">
      <c r="H297" s="43"/>
    </row>
    <row r="298" ht="15.75" customHeight="1">
      <c r="H298" s="43"/>
    </row>
    <row r="299" ht="15.75" customHeight="1">
      <c r="H299" s="43"/>
    </row>
    <row r="300" ht="15.75" customHeight="1">
      <c r="H300" s="43"/>
    </row>
    <row r="301" ht="15.75" customHeight="1">
      <c r="H301" s="43"/>
    </row>
    <row r="302" ht="15.75" customHeight="1">
      <c r="H302" s="43"/>
    </row>
    <row r="303" ht="15.75" customHeight="1">
      <c r="H303" s="43"/>
    </row>
    <row r="304" ht="15.75" customHeight="1">
      <c r="H304" s="43"/>
    </row>
    <row r="305" ht="15.75" customHeight="1">
      <c r="H305" s="43"/>
    </row>
    <row r="306" ht="15.75" customHeight="1">
      <c r="H306" s="43"/>
    </row>
    <row r="307" ht="15.75" customHeight="1">
      <c r="H307" s="43"/>
    </row>
    <row r="308" ht="15.75" customHeight="1">
      <c r="H308" s="43"/>
    </row>
    <row r="309" ht="15.75" customHeight="1">
      <c r="H309" s="43"/>
    </row>
    <row r="310" ht="15.75" customHeight="1">
      <c r="H310" s="43"/>
    </row>
    <row r="311" ht="15.75" customHeight="1">
      <c r="H311" s="43"/>
    </row>
    <row r="312" ht="15.75" customHeight="1">
      <c r="H312" s="43"/>
    </row>
    <row r="313" ht="15.75" customHeight="1">
      <c r="H313" s="43"/>
    </row>
    <row r="314" ht="15.75" customHeight="1">
      <c r="H314" s="43"/>
    </row>
    <row r="315" ht="15.75" customHeight="1">
      <c r="H315" s="43"/>
    </row>
    <row r="316" ht="15.75" customHeight="1">
      <c r="H316" s="43"/>
    </row>
    <row r="317" ht="15.75" customHeight="1">
      <c r="H317" s="43"/>
    </row>
    <row r="318" ht="15.75" customHeight="1">
      <c r="H318" s="43"/>
    </row>
    <row r="319" ht="15.75" customHeight="1">
      <c r="H319" s="43"/>
    </row>
    <row r="320" ht="15.75" customHeight="1">
      <c r="H320" s="43"/>
    </row>
    <row r="321" ht="15.75" customHeight="1">
      <c r="H321" s="43"/>
    </row>
    <row r="322" ht="15.75" customHeight="1">
      <c r="H322" s="43"/>
    </row>
    <row r="323" ht="15.75" customHeight="1">
      <c r="H323" s="43"/>
    </row>
    <row r="324" ht="15.75" customHeight="1">
      <c r="H324" s="43"/>
    </row>
    <row r="325" ht="15.75" customHeight="1">
      <c r="H325" s="43"/>
    </row>
    <row r="326" ht="15.75" customHeight="1">
      <c r="H326" s="43"/>
    </row>
    <row r="327" ht="15.75" customHeight="1">
      <c r="H327" s="43"/>
    </row>
    <row r="328" ht="15.75" customHeight="1">
      <c r="H328" s="43"/>
    </row>
    <row r="329" ht="15.75" customHeight="1">
      <c r="H329" s="43"/>
    </row>
    <row r="330" ht="15.75" customHeight="1">
      <c r="H330" s="43"/>
    </row>
    <row r="331" ht="15.75" customHeight="1">
      <c r="H331" s="43"/>
    </row>
    <row r="332" ht="15.75" customHeight="1">
      <c r="H332" s="43"/>
    </row>
    <row r="333" ht="15.75" customHeight="1">
      <c r="H333" s="43"/>
    </row>
    <row r="334" ht="15.75" customHeight="1">
      <c r="H334" s="43"/>
    </row>
    <row r="335" ht="15.75" customHeight="1">
      <c r="H335" s="43"/>
    </row>
    <row r="336" ht="15.75" customHeight="1">
      <c r="H336" s="43"/>
    </row>
    <row r="337" ht="15.75" customHeight="1">
      <c r="H337" s="43"/>
    </row>
    <row r="338" ht="15.75" customHeight="1">
      <c r="H338" s="43"/>
    </row>
    <row r="339" ht="15.75" customHeight="1">
      <c r="H339" s="43"/>
    </row>
    <row r="340" ht="15.75" customHeight="1">
      <c r="H340" s="43"/>
    </row>
    <row r="341" ht="15.75" customHeight="1">
      <c r="H341" s="43"/>
    </row>
    <row r="342" ht="15.75" customHeight="1">
      <c r="H342" s="43"/>
    </row>
    <row r="343" ht="15.75" customHeight="1">
      <c r="H343" s="43"/>
    </row>
    <row r="344" ht="15.75" customHeight="1">
      <c r="H344" s="43"/>
    </row>
    <row r="345" ht="15.75" customHeight="1">
      <c r="H345" s="43"/>
    </row>
    <row r="346" ht="15.75" customHeight="1">
      <c r="H346" s="43"/>
    </row>
    <row r="347" ht="15.75" customHeight="1">
      <c r="H347" s="43"/>
    </row>
    <row r="348" ht="15.75" customHeight="1">
      <c r="H348" s="43"/>
    </row>
    <row r="349" ht="15.75" customHeight="1">
      <c r="H349" s="43"/>
    </row>
    <row r="350" ht="15.75" customHeight="1">
      <c r="H350" s="43"/>
    </row>
    <row r="351" ht="15.75" customHeight="1">
      <c r="H351" s="43"/>
    </row>
    <row r="352" ht="15.75" customHeight="1">
      <c r="H352" s="43"/>
    </row>
    <row r="353" ht="15.75" customHeight="1">
      <c r="H353" s="43"/>
    </row>
    <row r="354" ht="15.75" customHeight="1">
      <c r="H354" s="43"/>
    </row>
    <row r="355" ht="15.75" customHeight="1">
      <c r="H355" s="43"/>
    </row>
    <row r="356" ht="15.75" customHeight="1">
      <c r="H356" s="43"/>
    </row>
    <row r="357" ht="15.75" customHeight="1">
      <c r="H357" s="43"/>
    </row>
    <row r="358" ht="15.75" customHeight="1">
      <c r="H358" s="43"/>
    </row>
    <row r="359" ht="15.75" customHeight="1">
      <c r="H359" s="43"/>
    </row>
    <row r="360" ht="15.75" customHeight="1">
      <c r="H360" s="43"/>
    </row>
    <row r="361" ht="15.75" customHeight="1">
      <c r="H361" s="43"/>
    </row>
    <row r="362" ht="15.75" customHeight="1">
      <c r="H362" s="43"/>
    </row>
    <row r="363" ht="15.75" customHeight="1">
      <c r="H363" s="43"/>
    </row>
    <row r="364" ht="15.75" customHeight="1">
      <c r="H364" s="43"/>
    </row>
    <row r="365" ht="15.75" customHeight="1">
      <c r="H365" s="43"/>
    </row>
    <row r="366" ht="15.75" customHeight="1">
      <c r="H366" s="43"/>
    </row>
    <row r="367" ht="15.75" customHeight="1">
      <c r="H367" s="43"/>
    </row>
    <row r="368" ht="15.75" customHeight="1">
      <c r="H368" s="43"/>
    </row>
    <row r="369" ht="15.75" customHeight="1">
      <c r="H369" s="43"/>
    </row>
    <row r="370" ht="15.75" customHeight="1">
      <c r="H370" s="43"/>
    </row>
    <row r="371" ht="15.75" customHeight="1">
      <c r="H371" s="43"/>
    </row>
    <row r="372" ht="15.75" customHeight="1">
      <c r="H372" s="43"/>
    </row>
    <row r="373" ht="15.75" customHeight="1">
      <c r="H373" s="43"/>
    </row>
    <row r="374" ht="15.75" customHeight="1">
      <c r="H374" s="43"/>
    </row>
    <row r="375" ht="15.75" customHeight="1">
      <c r="H375" s="43"/>
    </row>
    <row r="376" ht="15.75" customHeight="1">
      <c r="H376" s="43"/>
    </row>
    <row r="377" ht="15.75" customHeight="1">
      <c r="H377" s="43"/>
    </row>
    <row r="378" ht="15.75" customHeight="1">
      <c r="H378" s="43"/>
    </row>
    <row r="379" ht="15.75" customHeight="1">
      <c r="H379" s="43"/>
    </row>
    <row r="380" ht="15.75" customHeight="1">
      <c r="H380" s="43"/>
    </row>
    <row r="381" ht="15.75" customHeight="1">
      <c r="H381" s="43"/>
    </row>
    <row r="382" ht="15.75" customHeight="1">
      <c r="H382" s="43"/>
    </row>
    <row r="383" ht="15.75" customHeight="1">
      <c r="H383" s="43"/>
    </row>
    <row r="384" ht="15.75" customHeight="1">
      <c r="H384" s="43"/>
    </row>
    <row r="385" ht="15.75" customHeight="1">
      <c r="H385" s="43"/>
    </row>
    <row r="386" ht="15.75" customHeight="1">
      <c r="H386" s="43"/>
    </row>
    <row r="387" ht="15.75" customHeight="1">
      <c r="H387" s="43"/>
    </row>
    <row r="388" ht="15.75" customHeight="1">
      <c r="H388" s="43"/>
    </row>
    <row r="389" ht="15.75" customHeight="1">
      <c r="H389" s="43"/>
    </row>
    <row r="390" ht="15.75" customHeight="1">
      <c r="H390" s="43"/>
    </row>
    <row r="391" ht="15.75" customHeight="1">
      <c r="H391" s="43"/>
    </row>
    <row r="392" ht="15.75" customHeight="1">
      <c r="H392" s="43"/>
    </row>
    <row r="393" ht="15.75" customHeight="1">
      <c r="H393" s="43"/>
    </row>
    <row r="394" ht="15.75" customHeight="1">
      <c r="H394" s="43"/>
    </row>
    <row r="395" ht="15.75" customHeight="1">
      <c r="H395" s="43"/>
    </row>
    <row r="396" ht="15.75" customHeight="1">
      <c r="H396" s="43"/>
    </row>
    <row r="397" ht="15.75" customHeight="1">
      <c r="H397" s="43"/>
    </row>
    <row r="398" ht="15.75" customHeight="1">
      <c r="H398" s="43"/>
    </row>
    <row r="399" ht="15.75" customHeight="1">
      <c r="H399" s="43"/>
    </row>
    <row r="400" ht="15.75" customHeight="1">
      <c r="H400" s="43"/>
    </row>
    <row r="401" ht="15.75" customHeight="1">
      <c r="H401" s="43"/>
    </row>
    <row r="402" ht="15.75" customHeight="1">
      <c r="H402" s="43"/>
    </row>
    <row r="403" ht="15.75" customHeight="1">
      <c r="H403" s="43"/>
    </row>
    <row r="404" ht="15.75" customHeight="1">
      <c r="H404" s="43"/>
    </row>
    <row r="405" ht="15.75" customHeight="1">
      <c r="H405" s="43"/>
    </row>
    <row r="406" ht="15.75" customHeight="1">
      <c r="H406" s="43"/>
    </row>
    <row r="407" ht="15.75" customHeight="1">
      <c r="H407" s="43"/>
    </row>
    <row r="408" ht="15.75" customHeight="1">
      <c r="H408" s="65"/>
    </row>
    <row r="409" ht="15.75" customHeight="1">
      <c r="H409" s="65"/>
    </row>
    <row r="410" ht="15.75" customHeight="1">
      <c r="H410" s="65"/>
    </row>
    <row r="411" ht="15.75" customHeight="1">
      <c r="H411" s="65"/>
    </row>
    <row r="412" ht="15.75" customHeight="1">
      <c r="H412" s="65"/>
    </row>
    <row r="413" ht="15.75" customHeight="1">
      <c r="H413" s="65"/>
    </row>
    <row r="414" ht="15.75" customHeight="1">
      <c r="H414" s="65"/>
    </row>
    <row r="415" ht="15.75" customHeight="1">
      <c r="H415" s="65"/>
    </row>
    <row r="416" ht="15.75" customHeight="1">
      <c r="H416" s="65"/>
    </row>
    <row r="417" ht="15.75" customHeight="1">
      <c r="H417" s="65"/>
    </row>
    <row r="418" ht="15.75" customHeight="1">
      <c r="H418" s="65"/>
    </row>
    <row r="419" ht="15.75" customHeight="1">
      <c r="H419" s="65"/>
    </row>
    <row r="420" ht="15.75" customHeight="1">
      <c r="H420" s="65"/>
    </row>
    <row r="421" ht="15.75" customHeight="1">
      <c r="H421" s="65"/>
    </row>
    <row r="422" ht="15.75" customHeight="1">
      <c r="H422" s="65"/>
    </row>
    <row r="423" ht="15.75" customHeight="1">
      <c r="H423" s="65"/>
    </row>
    <row r="424" ht="15.75" customHeight="1">
      <c r="H424" s="65"/>
    </row>
    <row r="425" ht="15.75" customHeight="1">
      <c r="H425" s="65"/>
    </row>
    <row r="426" ht="15.75" customHeight="1">
      <c r="H426" s="65"/>
    </row>
    <row r="427" ht="15.75" customHeight="1">
      <c r="H427" s="65"/>
    </row>
    <row r="428" ht="15.75" customHeight="1">
      <c r="H428" s="65"/>
    </row>
    <row r="429" ht="15.75" customHeight="1">
      <c r="H429" s="65"/>
    </row>
    <row r="430" ht="15.75" customHeight="1">
      <c r="H430" s="65"/>
    </row>
    <row r="431" ht="15.75" customHeight="1">
      <c r="H431" s="65"/>
    </row>
    <row r="432" ht="15.75" customHeight="1">
      <c r="H432" s="65"/>
    </row>
    <row r="433" ht="15.75" customHeight="1">
      <c r="H433" s="65"/>
    </row>
    <row r="434" ht="15.75" customHeight="1">
      <c r="H434" s="65"/>
    </row>
    <row r="435" ht="15.75" customHeight="1">
      <c r="H435" s="65"/>
    </row>
    <row r="436" ht="15.75" customHeight="1">
      <c r="H436" s="65"/>
    </row>
    <row r="437" ht="15.75" customHeight="1">
      <c r="H437" s="65"/>
    </row>
    <row r="438" ht="15.75" customHeight="1">
      <c r="H438" s="65"/>
    </row>
    <row r="439" ht="15.75" customHeight="1">
      <c r="H439" s="65"/>
    </row>
    <row r="440" ht="15.75" customHeight="1">
      <c r="H440" s="65"/>
    </row>
    <row r="441" ht="15.75" customHeight="1">
      <c r="H441" s="65"/>
    </row>
    <row r="442" ht="15.75" customHeight="1">
      <c r="H442" s="65"/>
    </row>
    <row r="443" ht="15.75" customHeight="1">
      <c r="H443" s="65"/>
    </row>
    <row r="444" ht="15.75" customHeight="1">
      <c r="H444" s="65"/>
    </row>
    <row r="445" ht="15.75" customHeight="1">
      <c r="H445" s="65"/>
    </row>
    <row r="446" ht="15.75" customHeight="1">
      <c r="H446" s="65"/>
    </row>
    <row r="447" ht="15.75" customHeight="1">
      <c r="H447" s="65"/>
    </row>
    <row r="448" ht="15.75" customHeight="1">
      <c r="H448" s="65"/>
    </row>
    <row r="449" ht="15.75" customHeight="1">
      <c r="H449" s="65"/>
    </row>
    <row r="450" ht="15.75" customHeight="1">
      <c r="H450" s="65"/>
    </row>
    <row r="451" ht="15.75" customHeight="1">
      <c r="H451" s="65"/>
    </row>
    <row r="452" ht="15.75" customHeight="1">
      <c r="H452" s="65"/>
    </row>
    <row r="453" ht="15.75" customHeight="1">
      <c r="H453" s="65"/>
    </row>
    <row r="454" ht="15.75" customHeight="1">
      <c r="H454" s="65"/>
    </row>
    <row r="455" ht="15.75" customHeight="1">
      <c r="H455" s="65"/>
    </row>
    <row r="456" ht="15.75" customHeight="1">
      <c r="H456" s="65"/>
    </row>
    <row r="457" ht="15.75" customHeight="1">
      <c r="H457" s="65"/>
    </row>
    <row r="458" ht="15.75" customHeight="1">
      <c r="H458" s="65"/>
    </row>
    <row r="459" ht="15.75" customHeight="1">
      <c r="H459" s="65"/>
    </row>
    <row r="460" ht="15.75" customHeight="1">
      <c r="H460" s="65"/>
    </row>
    <row r="461" ht="15.75" customHeight="1">
      <c r="H461" s="65"/>
    </row>
    <row r="462" ht="15.75" customHeight="1">
      <c r="H462" s="65"/>
    </row>
    <row r="463" ht="15.75" customHeight="1">
      <c r="H463" s="65"/>
    </row>
    <row r="464" ht="15.75" customHeight="1">
      <c r="H464" s="65"/>
    </row>
    <row r="465" ht="15.75" customHeight="1">
      <c r="H465" s="65"/>
    </row>
    <row r="466" ht="15.75" customHeight="1">
      <c r="H466" s="65"/>
    </row>
    <row r="467" ht="15.75" customHeight="1">
      <c r="H467" s="65"/>
    </row>
    <row r="468" ht="15.75" customHeight="1">
      <c r="H468" s="65"/>
    </row>
    <row r="469" ht="15.75" customHeight="1">
      <c r="H469" s="65"/>
    </row>
    <row r="470" ht="15.75" customHeight="1">
      <c r="H470" s="65"/>
    </row>
    <row r="471" ht="15.75" customHeight="1">
      <c r="H471" s="65"/>
    </row>
    <row r="472" ht="15.75" customHeight="1">
      <c r="H472" s="65"/>
    </row>
    <row r="473" ht="15.75" customHeight="1">
      <c r="H473" s="65"/>
    </row>
    <row r="474" ht="15.75" customHeight="1">
      <c r="H474" s="65"/>
    </row>
    <row r="475" ht="15.75" customHeight="1">
      <c r="H475" s="65"/>
    </row>
    <row r="476" ht="15.75" customHeight="1">
      <c r="H476" s="65"/>
    </row>
    <row r="477" ht="15.75" customHeight="1">
      <c r="H477" s="65"/>
    </row>
    <row r="478" ht="15.75" customHeight="1">
      <c r="H478" s="65"/>
    </row>
    <row r="479" ht="15.75" customHeight="1">
      <c r="H479" s="65"/>
    </row>
    <row r="480" ht="15.75" customHeight="1">
      <c r="H480" s="65"/>
    </row>
    <row r="481" ht="15.75" customHeight="1">
      <c r="H481" s="65"/>
    </row>
    <row r="482" ht="15.75" customHeight="1">
      <c r="H482" s="65"/>
    </row>
    <row r="483" ht="15.75" customHeight="1">
      <c r="H483" s="65"/>
    </row>
    <row r="484" ht="15.75" customHeight="1">
      <c r="H484" s="65"/>
    </row>
    <row r="485" ht="15.75" customHeight="1">
      <c r="H485" s="65"/>
    </row>
    <row r="486" ht="15.75" customHeight="1">
      <c r="H486" s="65"/>
    </row>
    <row r="487" ht="15.75" customHeight="1">
      <c r="H487" s="65"/>
    </row>
    <row r="488" ht="15.75" customHeight="1">
      <c r="H488" s="65"/>
    </row>
    <row r="489" ht="15.75" customHeight="1">
      <c r="H489" s="65"/>
    </row>
    <row r="490" ht="15.75" customHeight="1">
      <c r="H490" s="65"/>
    </row>
    <row r="491" ht="15.75" customHeight="1">
      <c r="H491" s="65"/>
    </row>
    <row r="492" ht="15.75" customHeight="1">
      <c r="H492" s="65"/>
    </row>
    <row r="493" ht="15.75" customHeight="1">
      <c r="H493" s="65"/>
    </row>
    <row r="494" ht="15.75" customHeight="1">
      <c r="H494" s="65"/>
    </row>
    <row r="495" ht="15.75" customHeight="1">
      <c r="H495" s="65"/>
    </row>
    <row r="496" ht="15.75" customHeight="1">
      <c r="H496" s="65"/>
    </row>
    <row r="497" ht="15.75" customHeight="1">
      <c r="H497" s="65"/>
    </row>
    <row r="498" ht="15.75" customHeight="1">
      <c r="H498" s="65"/>
    </row>
    <row r="499" ht="15.75" customHeight="1">
      <c r="H499" s="65"/>
    </row>
    <row r="500" ht="15.75" customHeight="1">
      <c r="H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2"/>
  </mergeCells>
  <dataValidations>
    <dataValidation type="list" allowBlank="1" sqref="H8:H500">
      <formula1>"На розгляді,Затверджено,Відхилено,Відкладено"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22.0"/>
    <col customWidth="1" min="4" max="4" width="45.0"/>
    <col customWidth="1" min="5" max="5" width="40.0"/>
    <col customWidth="1" min="6" max="6" width="16.0"/>
    <col customWidth="1" min="7" max="8" width="12.0"/>
  </cols>
  <sheetData>
    <row r="1">
      <c r="A1" s="1" t="s">
        <v>183</v>
      </c>
    </row>
    <row r="2" ht="48.0" customHeight="1">
      <c r="A2" s="2" t="s">
        <v>334</v>
      </c>
    </row>
    <row r="4" ht="30.0" customHeight="1">
      <c r="A4" s="4" t="s">
        <v>72</v>
      </c>
      <c r="B4" s="4" t="s">
        <v>242</v>
      </c>
      <c r="C4" s="4" t="s">
        <v>337</v>
      </c>
      <c r="D4" s="4" t="s">
        <v>339</v>
      </c>
      <c r="E4" s="4" t="s">
        <v>340</v>
      </c>
      <c r="F4" s="4" t="s">
        <v>225</v>
      </c>
      <c r="G4" s="4" t="s">
        <v>30</v>
      </c>
      <c r="H4" s="4" t="s">
        <v>65</v>
      </c>
    </row>
    <row r="5">
      <c r="A5" s="45" t="s">
        <v>103</v>
      </c>
      <c r="B5" s="27" t="s">
        <v>341</v>
      </c>
      <c r="C5" s="27" t="s">
        <v>342</v>
      </c>
      <c r="D5" s="27" t="s">
        <v>343</v>
      </c>
      <c r="E5" s="27" t="s">
        <v>344</v>
      </c>
      <c r="F5" s="27" t="s">
        <v>19</v>
      </c>
      <c r="G5" s="45" t="s">
        <v>345</v>
      </c>
      <c r="H5" s="27" t="s">
        <v>110</v>
      </c>
    </row>
    <row r="6">
      <c r="A6" s="51"/>
      <c r="B6" s="29"/>
      <c r="C6" s="29"/>
      <c r="D6" s="29"/>
      <c r="E6" s="29"/>
      <c r="F6" s="29"/>
      <c r="G6" s="51"/>
      <c r="H6" s="29"/>
    </row>
    <row r="7">
      <c r="A7" s="51"/>
      <c r="B7" s="29"/>
      <c r="C7" s="29"/>
      <c r="D7" s="29"/>
      <c r="E7" s="29"/>
      <c r="F7" s="29"/>
      <c r="G7" s="51"/>
      <c r="H7" s="29"/>
    </row>
    <row r="8">
      <c r="A8" s="51"/>
      <c r="B8" s="29"/>
      <c r="C8" s="29"/>
      <c r="D8" s="29"/>
      <c r="E8" s="29"/>
      <c r="F8" s="29"/>
      <c r="G8" s="51"/>
      <c r="H8" s="29"/>
    </row>
    <row r="9">
      <c r="A9" s="51"/>
      <c r="B9" s="29"/>
      <c r="C9" s="29"/>
      <c r="D9" s="29"/>
      <c r="E9" s="29"/>
      <c r="F9" s="29"/>
      <c r="G9" s="51"/>
      <c r="H9" s="29"/>
    </row>
    <row r="10">
      <c r="A10" s="51"/>
      <c r="B10" s="29"/>
      <c r="C10" s="29"/>
      <c r="D10" s="29"/>
      <c r="E10" s="29"/>
      <c r="F10" s="29"/>
      <c r="G10" s="51"/>
      <c r="H10" s="29"/>
    </row>
    <row r="11">
      <c r="A11" s="51"/>
      <c r="B11" s="29"/>
      <c r="C11" s="29"/>
      <c r="D11" s="29"/>
      <c r="E11" s="29"/>
      <c r="F11" s="29"/>
      <c r="G11" s="51"/>
      <c r="H11" s="29"/>
    </row>
    <row r="12">
      <c r="A12" s="51"/>
      <c r="B12" s="29"/>
      <c r="C12" s="29"/>
      <c r="D12" s="29"/>
      <c r="E12" s="29"/>
      <c r="F12" s="29"/>
      <c r="G12" s="51"/>
      <c r="H12" s="29"/>
    </row>
    <row r="13">
      <c r="A13" s="51"/>
      <c r="B13" s="29"/>
      <c r="C13" s="29"/>
      <c r="D13" s="29"/>
      <c r="E13" s="29"/>
      <c r="F13" s="29"/>
      <c r="G13" s="51"/>
      <c r="H13" s="29"/>
    </row>
    <row r="14">
      <c r="A14" s="51"/>
      <c r="B14" s="29"/>
      <c r="C14" s="29"/>
      <c r="D14" s="29"/>
      <c r="E14" s="29"/>
      <c r="F14" s="29"/>
      <c r="G14" s="51"/>
      <c r="H14" s="29"/>
    </row>
    <row r="15">
      <c r="A15" s="51"/>
      <c r="B15" s="29"/>
      <c r="C15" s="29"/>
      <c r="D15" s="29"/>
      <c r="E15" s="29"/>
      <c r="F15" s="29"/>
      <c r="G15" s="51"/>
      <c r="H15" s="29"/>
    </row>
    <row r="16">
      <c r="A16" s="51"/>
      <c r="B16" s="29"/>
      <c r="C16" s="29"/>
      <c r="D16" s="29"/>
      <c r="E16" s="29"/>
      <c r="F16" s="29"/>
      <c r="G16" s="51"/>
      <c r="H16" s="29"/>
    </row>
    <row r="17">
      <c r="A17" s="51"/>
      <c r="B17" s="29"/>
      <c r="C17" s="29"/>
      <c r="D17" s="29"/>
      <c r="E17" s="29"/>
      <c r="F17" s="29"/>
      <c r="G17" s="51"/>
      <c r="H17" s="29"/>
    </row>
    <row r="18">
      <c r="A18" s="51"/>
      <c r="B18" s="29"/>
      <c r="C18" s="29"/>
      <c r="D18" s="29"/>
      <c r="E18" s="29"/>
      <c r="F18" s="29"/>
      <c r="G18" s="51"/>
      <c r="H18" s="29"/>
    </row>
    <row r="19">
      <c r="A19" s="51"/>
      <c r="B19" s="29"/>
      <c r="C19" s="29"/>
      <c r="D19" s="29"/>
      <c r="E19" s="29"/>
      <c r="F19" s="29"/>
      <c r="G19" s="51"/>
      <c r="H19" s="29"/>
    </row>
    <row r="20">
      <c r="A20" s="51"/>
      <c r="B20" s="29"/>
      <c r="C20" s="29"/>
      <c r="D20" s="29"/>
      <c r="E20" s="29"/>
      <c r="F20" s="29"/>
      <c r="G20" s="51"/>
      <c r="H20" s="29"/>
    </row>
    <row r="21" ht="15.75" customHeight="1">
      <c r="A21" s="51"/>
      <c r="B21" s="29"/>
      <c r="C21" s="29"/>
      <c r="D21" s="29"/>
      <c r="E21" s="29"/>
      <c r="F21" s="29"/>
      <c r="G21" s="51"/>
      <c r="H21" s="29"/>
    </row>
    <row r="22" ht="15.75" customHeight="1">
      <c r="A22" s="51"/>
      <c r="B22" s="29"/>
      <c r="C22" s="29"/>
      <c r="D22" s="29"/>
      <c r="E22" s="29"/>
      <c r="F22" s="29"/>
      <c r="G22" s="51"/>
      <c r="H22" s="29"/>
    </row>
    <row r="23" ht="15.75" customHeight="1">
      <c r="A23" s="51"/>
      <c r="B23" s="29"/>
      <c r="C23" s="29"/>
      <c r="D23" s="29"/>
      <c r="E23" s="29"/>
      <c r="F23" s="29"/>
      <c r="G23" s="51"/>
      <c r="H23" s="29"/>
    </row>
    <row r="24" ht="15.75" customHeight="1">
      <c r="A24" s="51"/>
      <c r="B24" s="29"/>
      <c r="C24" s="29"/>
      <c r="D24" s="29"/>
      <c r="E24" s="29"/>
      <c r="F24" s="29"/>
      <c r="G24" s="51"/>
      <c r="H24" s="29"/>
    </row>
    <row r="25" ht="15.75" customHeight="1">
      <c r="A25" s="51"/>
      <c r="B25" s="29"/>
      <c r="C25" s="29"/>
      <c r="D25" s="29"/>
      <c r="E25" s="29"/>
      <c r="F25" s="29"/>
      <c r="G25" s="51"/>
      <c r="H25" s="29"/>
    </row>
    <row r="26" ht="15.75" customHeight="1">
      <c r="A26" s="51"/>
      <c r="B26" s="29"/>
      <c r="C26" s="29"/>
      <c r="D26" s="29"/>
      <c r="E26" s="29"/>
      <c r="F26" s="29"/>
      <c r="G26" s="51"/>
      <c r="H26" s="29"/>
    </row>
    <row r="27" ht="15.75" customHeight="1">
      <c r="A27" s="51"/>
      <c r="B27" s="29"/>
      <c r="C27" s="29"/>
      <c r="D27" s="29"/>
      <c r="E27" s="29"/>
      <c r="F27" s="29"/>
      <c r="G27" s="51"/>
      <c r="H27" s="29"/>
    </row>
    <row r="28" ht="15.75" customHeight="1">
      <c r="A28" s="51"/>
      <c r="B28" s="29"/>
      <c r="C28" s="29"/>
      <c r="D28" s="29"/>
      <c r="E28" s="29"/>
      <c r="F28" s="29"/>
      <c r="G28" s="51"/>
      <c r="H28" s="29"/>
    </row>
    <row r="29" ht="15.75" customHeight="1">
      <c r="A29" s="51"/>
      <c r="B29" s="29"/>
      <c r="C29" s="29"/>
      <c r="D29" s="29"/>
      <c r="E29" s="29"/>
      <c r="F29" s="29"/>
      <c r="G29" s="51"/>
      <c r="H29" s="29"/>
    </row>
    <row r="30" ht="15.75" customHeight="1">
      <c r="A30" s="51"/>
      <c r="B30" s="29"/>
      <c r="C30" s="29"/>
      <c r="D30" s="29"/>
      <c r="E30" s="29"/>
      <c r="F30" s="29"/>
      <c r="G30" s="51"/>
      <c r="H30" s="29"/>
    </row>
    <row r="31" ht="15.75" customHeight="1">
      <c r="A31" s="55"/>
      <c r="B31" s="43"/>
      <c r="G31" s="55"/>
      <c r="H31" s="43"/>
    </row>
    <row r="32" ht="15.75" customHeight="1">
      <c r="A32" s="55"/>
      <c r="B32" s="43"/>
      <c r="G32" s="55"/>
      <c r="H32" s="43"/>
    </row>
    <row r="33" ht="15.75" customHeight="1">
      <c r="A33" s="55"/>
      <c r="B33" s="43"/>
      <c r="G33" s="55"/>
      <c r="H33" s="43"/>
    </row>
    <row r="34" ht="15.75" customHeight="1">
      <c r="A34" s="55"/>
      <c r="B34" s="43"/>
      <c r="G34" s="55"/>
      <c r="H34" s="43"/>
    </row>
    <row r="35" ht="15.75" customHeight="1">
      <c r="A35" s="55"/>
      <c r="B35" s="43"/>
      <c r="G35" s="55"/>
      <c r="H35" s="43"/>
    </row>
    <row r="36" ht="15.75" customHeight="1">
      <c r="A36" s="55"/>
      <c r="B36" s="43"/>
      <c r="G36" s="55"/>
      <c r="H36" s="43"/>
    </row>
    <row r="37" ht="15.75" customHeight="1">
      <c r="A37" s="55"/>
      <c r="B37" s="43"/>
      <c r="G37" s="55"/>
      <c r="H37" s="43"/>
    </row>
    <row r="38" ht="15.75" customHeight="1">
      <c r="A38" s="55"/>
      <c r="B38" s="43"/>
      <c r="G38" s="55"/>
      <c r="H38" s="43"/>
    </row>
    <row r="39" ht="15.75" customHeight="1">
      <c r="A39" s="55"/>
      <c r="B39" s="43"/>
      <c r="G39" s="55"/>
      <c r="H39" s="43"/>
    </row>
    <row r="40" ht="15.75" customHeight="1">
      <c r="A40" s="55"/>
      <c r="B40" s="43"/>
      <c r="G40" s="55"/>
      <c r="H40" s="43"/>
    </row>
    <row r="41" ht="15.75" customHeight="1">
      <c r="A41" s="55"/>
      <c r="B41" s="43"/>
      <c r="G41" s="55"/>
      <c r="H41" s="43"/>
    </row>
    <row r="42" ht="15.75" customHeight="1">
      <c r="A42" s="55"/>
      <c r="B42" s="43"/>
      <c r="G42" s="55"/>
      <c r="H42" s="43"/>
    </row>
    <row r="43" ht="15.75" customHeight="1">
      <c r="A43" s="55"/>
      <c r="B43" s="43"/>
      <c r="G43" s="55"/>
      <c r="H43" s="43"/>
    </row>
    <row r="44" ht="15.75" customHeight="1">
      <c r="A44" s="55"/>
      <c r="B44" s="43"/>
      <c r="G44" s="55"/>
      <c r="H44" s="43"/>
    </row>
    <row r="45" ht="15.75" customHeight="1">
      <c r="A45" s="55"/>
      <c r="B45" s="43"/>
      <c r="G45" s="55"/>
      <c r="H45" s="43"/>
    </row>
    <row r="46" ht="15.75" customHeight="1">
      <c r="A46" s="55"/>
      <c r="B46" s="43"/>
      <c r="G46" s="55"/>
      <c r="H46" s="43"/>
    </row>
    <row r="47" ht="15.75" customHeight="1">
      <c r="A47" s="55"/>
      <c r="B47" s="43"/>
      <c r="G47" s="55"/>
      <c r="H47" s="43"/>
    </row>
    <row r="48" ht="15.75" customHeight="1">
      <c r="A48" s="55"/>
      <c r="B48" s="43"/>
      <c r="G48" s="55"/>
      <c r="H48" s="43"/>
    </row>
    <row r="49" ht="15.75" customHeight="1">
      <c r="A49" s="55"/>
      <c r="B49" s="43"/>
      <c r="G49" s="55"/>
      <c r="H49" s="43"/>
    </row>
    <row r="50" ht="15.75" customHeight="1">
      <c r="A50" s="55"/>
      <c r="B50" s="43"/>
      <c r="G50" s="55"/>
      <c r="H50" s="43"/>
    </row>
    <row r="51" ht="15.75" customHeight="1">
      <c r="A51" s="55"/>
      <c r="B51" s="43"/>
      <c r="G51" s="55"/>
      <c r="H51" s="43"/>
    </row>
    <row r="52" ht="15.75" customHeight="1">
      <c r="A52" s="55"/>
      <c r="B52" s="43"/>
      <c r="G52" s="55"/>
      <c r="H52" s="43"/>
    </row>
    <row r="53" ht="15.75" customHeight="1">
      <c r="A53" s="55"/>
      <c r="B53" s="43"/>
      <c r="G53" s="55"/>
      <c r="H53" s="43"/>
    </row>
    <row r="54" ht="15.75" customHeight="1">
      <c r="A54" s="55"/>
      <c r="B54" s="43"/>
      <c r="G54" s="55"/>
      <c r="H54" s="43"/>
    </row>
    <row r="55" ht="15.75" customHeight="1">
      <c r="A55" s="55"/>
      <c r="B55" s="43"/>
      <c r="G55" s="55"/>
      <c r="H55" s="43"/>
    </row>
    <row r="56" ht="15.75" customHeight="1">
      <c r="A56" s="55"/>
      <c r="B56" s="43"/>
      <c r="G56" s="55"/>
      <c r="H56" s="43"/>
    </row>
    <row r="57" ht="15.75" customHeight="1">
      <c r="A57" s="55"/>
      <c r="B57" s="43"/>
      <c r="G57" s="55"/>
      <c r="H57" s="43"/>
    </row>
    <row r="58" ht="15.75" customHeight="1">
      <c r="A58" s="55"/>
      <c r="B58" s="43"/>
      <c r="G58" s="55"/>
      <c r="H58" s="43"/>
    </row>
    <row r="59" ht="15.75" customHeight="1">
      <c r="A59" s="55"/>
      <c r="B59" s="43"/>
      <c r="G59" s="55"/>
      <c r="H59" s="43"/>
    </row>
    <row r="60" ht="15.75" customHeight="1">
      <c r="A60" s="55"/>
      <c r="B60" s="43"/>
      <c r="G60" s="55"/>
      <c r="H60" s="43"/>
    </row>
    <row r="61" ht="15.75" customHeight="1">
      <c r="A61" s="55"/>
      <c r="B61" s="43"/>
      <c r="G61" s="55"/>
      <c r="H61" s="43"/>
    </row>
    <row r="62" ht="15.75" customHeight="1">
      <c r="A62" s="55"/>
      <c r="B62" s="43"/>
      <c r="G62" s="55"/>
      <c r="H62" s="43"/>
    </row>
    <row r="63" ht="15.75" customHeight="1">
      <c r="A63" s="55"/>
      <c r="B63" s="43"/>
      <c r="G63" s="55"/>
      <c r="H63" s="43"/>
    </row>
    <row r="64" ht="15.75" customHeight="1">
      <c r="A64" s="55"/>
      <c r="B64" s="43"/>
      <c r="G64" s="55"/>
      <c r="H64" s="43"/>
    </row>
    <row r="65" ht="15.75" customHeight="1">
      <c r="A65" s="55"/>
      <c r="B65" s="43"/>
      <c r="G65" s="55"/>
      <c r="H65" s="43"/>
    </row>
    <row r="66" ht="15.75" customHeight="1">
      <c r="A66" s="55"/>
      <c r="B66" s="43"/>
      <c r="G66" s="55"/>
      <c r="H66" s="43"/>
    </row>
    <row r="67" ht="15.75" customHeight="1">
      <c r="A67" s="55"/>
      <c r="B67" s="43"/>
      <c r="G67" s="55"/>
      <c r="H67" s="43"/>
    </row>
    <row r="68" ht="15.75" customHeight="1">
      <c r="A68" s="55"/>
      <c r="B68" s="43"/>
      <c r="G68" s="55"/>
      <c r="H68" s="43"/>
    </row>
    <row r="69" ht="15.75" customHeight="1">
      <c r="A69" s="55"/>
      <c r="B69" s="43"/>
      <c r="G69" s="55"/>
      <c r="H69" s="43"/>
    </row>
    <row r="70" ht="15.75" customHeight="1">
      <c r="A70" s="55"/>
      <c r="B70" s="43"/>
      <c r="G70" s="55"/>
      <c r="H70" s="43"/>
    </row>
    <row r="71" ht="15.75" customHeight="1">
      <c r="A71" s="55"/>
      <c r="B71" s="43"/>
      <c r="G71" s="55"/>
      <c r="H71" s="43"/>
    </row>
    <row r="72" ht="15.75" customHeight="1">
      <c r="A72" s="55"/>
      <c r="B72" s="43"/>
      <c r="G72" s="55"/>
      <c r="H72" s="43"/>
    </row>
    <row r="73" ht="15.75" customHeight="1">
      <c r="A73" s="55"/>
      <c r="B73" s="43"/>
      <c r="G73" s="55"/>
      <c r="H73" s="43"/>
    </row>
    <row r="74" ht="15.75" customHeight="1">
      <c r="A74" s="55"/>
      <c r="B74" s="43"/>
      <c r="G74" s="55"/>
      <c r="H74" s="43"/>
    </row>
    <row r="75" ht="15.75" customHeight="1">
      <c r="A75" s="55"/>
      <c r="B75" s="43"/>
      <c r="G75" s="55"/>
      <c r="H75" s="43"/>
    </row>
    <row r="76" ht="15.75" customHeight="1">
      <c r="A76" s="55"/>
      <c r="B76" s="43"/>
      <c r="G76" s="55"/>
      <c r="H76" s="43"/>
    </row>
    <row r="77" ht="15.75" customHeight="1">
      <c r="A77" s="55"/>
      <c r="B77" s="43"/>
      <c r="G77" s="55"/>
      <c r="H77" s="43"/>
    </row>
    <row r="78" ht="15.75" customHeight="1">
      <c r="A78" s="55"/>
      <c r="B78" s="43"/>
      <c r="G78" s="55"/>
      <c r="H78" s="43"/>
    </row>
    <row r="79" ht="15.75" customHeight="1">
      <c r="A79" s="55"/>
      <c r="B79" s="43"/>
      <c r="G79" s="55"/>
      <c r="H79" s="43"/>
    </row>
    <row r="80" ht="15.75" customHeight="1">
      <c r="A80" s="55"/>
      <c r="B80" s="43"/>
      <c r="G80" s="55"/>
      <c r="H80" s="43"/>
    </row>
    <row r="81" ht="15.75" customHeight="1">
      <c r="A81" s="55"/>
      <c r="B81" s="43"/>
      <c r="G81" s="55"/>
      <c r="H81" s="43"/>
    </row>
    <row r="82" ht="15.75" customHeight="1">
      <c r="A82" s="55"/>
      <c r="B82" s="43"/>
      <c r="G82" s="55"/>
      <c r="H82" s="43"/>
    </row>
    <row r="83" ht="15.75" customHeight="1">
      <c r="A83" s="55"/>
      <c r="B83" s="43"/>
      <c r="G83" s="55"/>
      <c r="H83" s="43"/>
    </row>
    <row r="84" ht="15.75" customHeight="1">
      <c r="A84" s="55"/>
      <c r="B84" s="43"/>
      <c r="G84" s="55"/>
      <c r="H84" s="43"/>
    </row>
    <row r="85" ht="15.75" customHeight="1">
      <c r="A85" s="55"/>
      <c r="B85" s="43"/>
      <c r="G85" s="55"/>
      <c r="H85" s="43"/>
    </row>
    <row r="86" ht="15.75" customHeight="1">
      <c r="A86" s="55"/>
      <c r="B86" s="43"/>
      <c r="G86" s="55"/>
      <c r="H86" s="43"/>
    </row>
    <row r="87" ht="15.75" customHeight="1">
      <c r="A87" s="55"/>
      <c r="B87" s="43"/>
      <c r="G87" s="55"/>
      <c r="H87" s="43"/>
    </row>
    <row r="88" ht="15.75" customHeight="1">
      <c r="A88" s="55"/>
      <c r="B88" s="43"/>
      <c r="G88" s="55"/>
      <c r="H88" s="43"/>
    </row>
    <row r="89" ht="15.75" customHeight="1">
      <c r="A89" s="55"/>
      <c r="B89" s="43"/>
      <c r="G89" s="55"/>
      <c r="H89" s="43"/>
    </row>
    <row r="90" ht="15.75" customHeight="1">
      <c r="A90" s="55"/>
      <c r="B90" s="43"/>
      <c r="G90" s="55"/>
      <c r="H90" s="43"/>
    </row>
    <row r="91" ht="15.75" customHeight="1">
      <c r="A91" s="55"/>
      <c r="B91" s="43"/>
      <c r="G91" s="55"/>
      <c r="H91" s="43"/>
    </row>
    <row r="92" ht="15.75" customHeight="1">
      <c r="A92" s="55"/>
      <c r="B92" s="43"/>
      <c r="G92" s="55"/>
      <c r="H92" s="43"/>
    </row>
    <row r="93" ht="15.75" customHeight="1">
      <c r="A93" s="55"/>
      <c r="B93" s="43"/>
      <c r="G93" s="55"/>
      <c r="H93" s="43"/>
    </row>
    <row r="94" ht="15.75" customHeight="1">
      <c r="A94" s="55"/>
      <c r="B94" s="43"/>
      <c r="G94" s="55"/>
      <c r="H94" s="43"/>
    </row>
    <row r="95" ht="15.75" customHeight="1">
      <c r="A95" s="55"/>
      <c r="B95" s="43"/>
      <c r="G95" s="55"/>
      <c r="H95" s="43"/>
    </row>
    <row r="96" ht="15.75" customHeight="1">
      <c r="A96" s="55"/>
      <c r="B96" s="43"/>
      <c r="G96" s="55"/>
      <c r="H96" s="43"/>
    </row>
    <row r="97" ht="15.75" customHeight="1">
      <c r="A97" s="55"/>
      <c r="B97" s="43"/>
      <c r="G97" s="55"/>
      <c r="H97" s="43"/>
    </row>
    <row r="98" ht="15.75" customHeight="1">
      <c r="A98" s="55"/>
      <c r="B98" s="43"/>
      <c r="G98" s="55"/>
      <c r="H98" s="43"/>
    </row>
    <row r="99" ht="15.75" customHeight="1">
      <c r="A99" s="55"/>
      <c r="B99" s="43"/>
      <c r="G99" s="55"/>
      <c r="H99" s="43"/>
    </row>
    <row r="100" ht="15.75" customHeight="1">
      <c r="A100" s="55"/>
      <c r="B100" s="43"/>
      <c r="G100" s="55"/>
      <c r="H100" s="43"/>
    </row>
    <row r="101" ht="15.75" customHeight="1">
      <c r="A101" s="55"/>
      <c r="B101" s="43"/>
      <c r="G101" s="55"/>
      <c r="H101" s="43"/>
    </row>
    <row r="102" ht="15.75" customHeight="1">
      <c r="A102" s="55"/>
      <c r="B102" s="43"/>
      <c r="G102" s="55"/>
      <c r="H102" s="43"/>
    </row>
    <row r="103" ht="15.75" customHeight="1">
      <c r="A103" s="55"/>
      <c r="B103" s="43"/>
      <c r="G103" s="55"/>
      <c r="H103" s="43"/>
    </row>
    <row r="104" ht="15.75" customHeight="1">
      <c r="A104" s="55"/>
      <c r="B104" s="43"/>
      <c r="G104" s="55"/>
      <c r="H104" s="43"/>
    </row>
    <row r="105" ht="15.75" customHeight="1">
      <c r="A105" s="55"/>
      <c r="B105" s="43"/>
      <c r="G105" s="55"/>
      <c r="H105" s="43"/>
    </row>
    <row r="106" ht="15.75" customHeight="1">
      <c r="A106" s="55"/>
      <c r="B106" s="43"/>
      <c r="G106" s="55"/>
      <c r="H106" s="43"/>
    </row>
    <row r="107" ht="15.75" customHeight="1">
      <c r="A107" s="55"/>
      <c r="B107" s="43"/>
      <c r="G107" s="55"/>
      <c r="H107" s="43"/>
    </row>
    <row r="108" ht="15.75" customHeight="1">
      <c r="A108" s="55"/>
      <c r="B108" s="43"/>
      <c r="G108" s="55"/>
      <c r="H108" s="43"/>
    </row>
    <row r="109" ht="15.75" customHeight="1">
      <c r="A109" s="55"/>
      <c r="B109" s="43"/>
      <c r="G109" s="55"/>
      <c r="H109" s="43"/>
    </row>
    <row r="110" ht="15.75" customHeight="1">
      <c r="A110" s="55"/>
      <c r="B110" s="43"/>
      <c r="G110" s="55"/>
      <c r="H110" s="43"/>
    </row>
    <row r="111" ht="15.75" customHeight="1">
      <c r="A111" s="55"/>
      <c r="B111" s="43"/>
      <c r="G111" s="55"/>
      <c r="H111" s="43"/>
    </row>
    <row r="112" ht="15.75" customHeight="1">
      <c r="A112" s="55"/>
      <c r="B112" s="43"/>
      <c r="G112" s="55"/>
      <c r="H112" s="43"/>
    </row>
    <row r="113" ht="15.75" customHeight="1">
      <c r="A113" s="55"/>
      <c r="B113" s="43"/>
      <c r="G113" s="55"/>
      <c r="H113" s="43"/>
    </row>
    <row r="114" ht="15.75" customHeight="1">
      <c r="A114" s="55"/>
      <c r="B114" s="43"/>
      <c r="G114" s="55"/>
      <c r="H114" s="43"/>
    </row>
    <row r="115" ht="15.75" customHeight="1">
      <c r="A115" s="55"/>
      <c r="B115" s="43"/>
      <c r="G115" s="55"/>
      <c r="H115" s="43"/>
    </row>
    <row r="116" ht="15.75" customHeight="1">
      <c r="A116" s="55"/>
      <c r="B116" s="43"/>
      <c r="G116" s="55"/>
      <c r="H116" s="43"/>
    </row>
    <row r="117" ht="15.75" customHeight="1">
      <c r="A117" s="55"/>
      <c r="B117" s="43"/>
      <c r="G117" s="55"/>
      <c r="H117" s="43"/>
    </row>
    <row r="118" ht="15.75" customHeight="1">
      <c r="A118" s="55"/>
      <c r="B118" s="43"/>
      <c r="G118" s="55"/>
      <c r="H118" s="43"/>
    </row>
    <row r="119" ht="15.75" customHeight="1">
      <c r="A119" s="55"/>
      <c r="B119" s="43"/>
      <c r="G119" s="55"/>
      <c r="H119" s="43"/>
    </row>
    <row r="120" ht="15.75" customHeight="1">
      <c r="A120" s="55"/>
      <c r="B120" s="43"/>
      <c r="G120" s="55"/>
      <c r="H120" s="43"/>
    </row>
    <row r="121" ht="15.75" customHeight="1">
      <c r="A121" s="55"/>
      <c r="B121" s="43"/>
      <c r="G121" s="55"/>
      <c r="H121" s="43"/>
    </row>
    <row r="122" ht="15.75" customHeight="1">
      <c r="A122" s="55"/>
      <c r="B122" s="43"/>
      <c r="G122" s="55"/>
      <c r="H122" s="43"/>
    </row>
    <row r="123" ht="15.75" customHeight="1">
      <c r="A123" s="55"/>
      <c r="B123" s="43"/>
      <c r="G123" s="55"/>
      <c r="H123" s="43"/>
    </row>
    <row r="124" ht="15.75" customHeight="1">
      <c r="A124" s="55"/>
      <c r="B124" s="43"/>
      <c r="G124" s="55"/>
      <c r="H124" s="43"/>
    </row>
    <row r="125" ht="15.75" customHeight="1">
      <c r="A125" s="55"/>
      <c r="B125" s="43"/>
      <c r="G125" s="55"/>
      <c r="H125" s="43"/>
    </row>
    <row r="126" ht="15.75" customHeight="1">
      <c r="A126" s="55"/>
      <c r="B126" s="43"/>
      <c r="G126" s="55"/>
      <c r="H126" s="43"/>
    </row>
    <row r="127" ht="15.75" customHeight="1">
      <c r="A127" s="55"/>
      <c r="B127" s="43"/>
      <c r="G127" s="55"/>
      <c r="H127" s="43"/>
    </row>
    <row r="128" ht="15.75" customHeight="1">
      <c r="A128" s="55"/>
      <c r="B128" s="43"/>
      <c r="G128" s="55"/>
      <c r="H128" s="43"/>
    </row>
    <row r="129" ht="15.75" customHeight="1">
      <c r="A129" s="55"/>
      <c r="B129" s="43"/>
      <c r="G129" s="55"/>
      <c r="H129" s="43"/>
    </row>
    <row r="130" ht="15.75" customHeight="1">
      <c r="A130" s="55"/>
      <c r="B130" s="43"/>
      <c r="G130" s="55"/>
      <c r="H130" s="43"/>
    </row>
    <row r="131" ht="15.75" customHeight="1">
      <c r="A131" s="55"/>
      <c r="B131" s="43"/>
      <c r="G131" s="55"/>
      <c r="H131" s="43"/>
    </row>
    <row r="132" ht="15.75" customHeight="1">
      <c r="A132" s="55"/>
      <c r="B132" s="43"/>
      <c r="G132" s="55"/>
      <c r="H132" s="43"/>
    </row>
    <row r="133" ht="15.75" customHeight="1">
      <c r="A133" s="55"/>
      <c r="B133" s="43"/>
      <c r="G133" s="55"/>
      <c r="H133" s="43"/>
    </row>
    <row r="134" ht="15.75" customHeight="1">
      <c r="A134" s="55"/>
      <c r="B134" s="43"/>
      <c r="G134" s="55"/>
      <c r="H134" s="43"/>
    </row>
    <row r="135" ht="15.75" customHeight="1">
      <c r="A135" s="55"/>
      <c r="B135" s="43"/>
      <c r="G135" s="55"/>
      <c r="H135" s="43"/>
    </row>
    <row r="136" ht="15.75" customHeight="1">
      <c r="A136" s="55"/>
      <c r="B136" s="43"/>
      <c r="G136" s="55"/>
      <c r="H136" s="43"/>
    </row>
    <row r="137" ht="15.75" customHeight="1">
      <c r="A137" s="55"/>
      <c r="B137" s="43"/>
      <c r="G137" s="55"/>
      <c r="H137" s="43"/>
    </row>
    <row r="138" ht="15.75" customHeight="1">
      <c r="A138" s="55"/>
      <c r="B138" s="43"/>
      <c r="G138" s="55"/>
      <c r="H138" s="43"/>
    </row>
    <row r="139" ht="15.75" customHeight="1">
      <c r="A139" s="55"/>
      <c r="B139" s="43"/>
      <c r="G139" s="55"/>
      <c r="H139" s="43"/>
    </row>
    <row r="140" ht="15.75" customHeight="1">
      <c r="A140" s="55"/>
      <c r="B140" s="43"/>
      <c r="G140" s="55"/>
      <c r="H140" s="43"/>
    </row>
    <row r="141" ht="15.75" customHeight="1">
      <c r="A141" s="55"/>
      <c r="B141" s="43"/>
      <c r="G141" s="55"/>
      <c r="H141" s="43"/>
    </row>
    <row r="142" ht="15.75" customHeight="1">
      <c r="A142" s="55"/>
      <c r="B142" s="43"/>
      <c r="G142" s="55"/>
      <c r="H142" s="43"/>
    </row>
    <row r="143" ht="15.75" customHeight="1">
      <c r="A143" s="55"/>
      <c r="B143" s="43"/>
      <c r="G143" s="55"/>
      <c r="H143" s="43"/>
    </row>
    <row r="144" ht="15.75" customHeight="1">
      <c r="A144" s="55"/>
      <c r="B144" s="43"/>
      <c r="G144" s="55"/>
      <c r="H144" s="43"/>
    </row>
    <row r="145" ht="15.75" customHeight="1">
      <c r="A145" s="55"/>
      <c r="B145" s="43"/>
      <c r="G145" s="55"/>
      <c r="H145" s="43"/>
    </row>
    <row r="146" ht="15.75" customHeight="1">
      <c r="A146" s="55"/>
      <c r="B146" s="43"/>
      <c r="G146" s="55"/>
      <c r="H146" s="43"/>
    </row>
    <row r="147" ht="15.75" customHeight="1">
      <c r="A147" s="55"/>
      <c r="B147" s="43"/>
      <c r="G147" s="55"/>
      <c r="H147" s="43"/>
    </row>
    <row r="148" ht="15.75" customHeight="1">
      <c r="A148" s="55"/>
      <c r="B148" s="43"/>
      <c r="G148" s="55"/>
      <c r="H148" s="43"/>
    </row>
    <row r="149" ht="15.75" customHeight="1">
      <c r="A149" s="55"/>
      <c r="B149" s="43"/>
      <c r="G149" s="55"/>
      <c r="H149" s="43"/>
    </row>
    <row r="150" ht="15.75" customHeight="1">
      <c r="A150" s="55"/>
      <c r="B150" s="43"/>
      <c r="G150" s="55"/>
      <c r="H150" s="43"/>
    </row>
    <row r="151" ht="15.75" customHeight="1">
      <c r="A151" s="55"/>
      <c r="B151" s="43"/>
      <c r="G151" s="55"/>
      <c r="H151" s="43"/>
    </row>
    <row r="152" ht="15.75" customHeight="1">
      <c r="A152" s="55"/>
      <c r="B152" s="43"/>
      <c r="G152" s="55"/>
      <c r="H152" s="43"/>
    </row>
    <row r="153" ht="15.75" customHeight="1">
      <c r="A153" s="55"/>
      <c r="B153" s="43"/>
      <c r="G153" s="55"/>
      <c r="H153" s="43"/>
    </row>
    <row r="154" ht="15.75" customHeight="1">
      <c r="A154" s="55"/>
      <c r="B154" s="43"/>
      <c r="G154" s="55"/>
      <c r="H154" s="43"/>
    </row>
    <row r="155" ht="15.75" customHeight="1">
      <c r="A155" s="55"/>
      <c r="B155" s="43"/>
      <c r="G155" s="55"/>
      <c r="H155" s="43"/>
    </row>
    <row r="156" ht="15.75" customHeight="1">
      <c r="A156" s="55"/>
      <c r="B156" s="43"/>
      <c r="G156" s="55"/>
      <c r="H156" s="43"/>
    </row>
    <row r="157" ht="15.75" customHeight="1">
      <c r="A157" s="55"/>
      <c r="B157" s="43"/>
      <c r="G157" s="55"/>
      <c r="H157" s="43"/>
    </row>
    <row r="158" ht="15.75" customHeight="1">
      <c r="A158" s="55"/>
      <c r="B158" s="43"/>
      <c r="G158" s="55"/>
      <c r="H158" s="43"/>
    </row>
    <row r="159" ht="15.75" customHeight="1">
      <c r="A159" s="55"/>
      <c r="B159" s="43"/>
      <c r="G159" s="55"/>
      <c r="H159" s="43"/>
    </row>
    <row r="160" ht="15.75" customHeight="1">
      <c r="A160" s="55"/>
      <c r="B160" s="43"/>
      <c r="G160" s="55"/>
      <c r="H160" s="43"/>
    </row>
    <row r="161" ht="15.75" customHeight="1">
      <c r="A161" s="55"/>
      <c r="B161" s="43"/>
      <c r="G161" s="55"/>
      <c r="H161" s="43"/>
    </row>
    <row r="162" ht="15.75" customHeight="1">
      <c r="A162" s="55"/>
      <c r="B162" s="43"/>
      <c r="G162" s="55"/>
      <c r="H162" s="43"/>
    </row>
    <row r="163" ht="15.75" customHeight="1">
      <c r="A163" s="55"/>
      <c r="B163" s="43"/>
      <c r="G163" s="55"/>
      <c r="H163" s="43"/>
    </row>
    <row r="164" ht="15.75" customHeight="1">
      <c r="A164" s="55"/>
      <c r="B164" s="43"/>
      <c r="G164" s="55"/>
      <c r="H164" s="43"/>
    </row>
    <row r="165" ht="15.75" customHeight="1">
      <c r="A165" s="55"/>
      <c r="B165" s="43"/>
      <c r="G165" s="55"/>
      <c r="H165" s="43"/>
    </row>
    <row r="166" ht="15.75" customHeight="1">
      <c r="A166" s="55"/>
      <c r="B166" s="43"/>
      <c r="G166" s="55"/>
      <c r="H166" s="43"/>
    </row>
    <row r="167" ht="15.75" customHeight="1">
      <c r="A167" s="55"/>
      <c r="B167" s="43"/>
      <c r="G167" s="55"/>
      <c r="H167" s="43"/>
    </row>
    <row r="168" ht="15.75" customHeight="1">
      <c r="A168" s="55"/>
      <c r="B168" s="43"/>
      <c r="G168" s="55"/>
      <c r="H168" s="43"/>
    </row>
    <row r="169" ht="15.75" customHeight="1">
      <c r="A169" s="55"/>
      <c r="B169" s="43"/>
      <c r="G169" s="55"/>
      <c r="H169" s="43"/>
    </row>
    <row r="170" ht="15.75" customHeight="1">
      <c r="A170" s="55"/>
      <c r="B170" s="43"/>
      <c r="G170" s="55"/>
      <c r="H170" s="43"/>
    </row>
    <row r="171" ht="15.75" customHeight="1">
      <c r="A171" s="55"/>
      <c r="B171" s="43"/>
      <c r="G171" s="55"/>
      <c r="H171" s="43"/>
    </row>
    <row r="172" ht="15.75" customHeight="1">
      <c r="A172" s="55"/>
      <c r="B172" s="43"/>
      <c r="G172" s="55"/>
      <c r="H172" s="43"/>
    </row>
    <row r="173" ht="15.75" customHeight="1">
      <c r="A173" s="55"/>
      <c r="B173" s="43"/>
      <c r="G173" s="55"/>
      <c r="H173" s="43"/>
    </row>
    <row r="174" ht="15.75" customHeight="1">
      <c r="A174" s="55"/>
      <c r="B174" s="43"/>
      <c r="G174" s="55"/>
      <c r="H174" s="43"/>
    </row>
    <row r="175" ht="15.75" customHeight="1">
      <c r="A175" s="55"/>
      <c r="B175" s="43"/>
      <c r="G175" s="55"/>
      <c r="H175" s="43"/>
    </row>
    <row r="176" ht="15.75" customHeight="1">
      <c r="A176" s="55"/>
      <c r="B176" s="43"/>
      <c r="G176" s="55"/>
      <c r="H176" s="43"/>
    </row>
    <row r="177" ht="15.75" customHeight="1">
      <c r="A177" s="55"/>
      <c r="B177" s="43"/>
      <c r="G177" s="55"/>
      <c r="H177" s="43"/>
    </row>
    <row r="178" ht="15.75" customHeight="1">
      <c r="A178" s="55"/>
      <c r="B178" s="43"/>
      <c r="G178" s="55"/>
      <c r="H178" s="43"/>
    </row>
    <row r="179" ht="15.75" customHeight="1">
      <c r="A179" s="55"/>
      <c r="B179" s="43"/>
      <c r="G179" s="55"/>
      <c r="H179" s="43"/>
    </row>
    <row r="180" ht="15.75" customHeight="1">
      <c r="A180" s="55"/>
      <c r="B180" s="43"/>
      <c r="G180" s="55"/>
      <c r="H180" s="43"/>
    </row>
    <row r="181" ht="15.75" customHeight="1">
      <c r="A181" s="55"/>
      <c r="B181" s="43"/>
      <c r="G181" s="55"/>
      <c r="H181" s="43"/>
    </row>
    <row r="182" ht="15.75" customHeight="1">
      <c r="A182" s="55"/>
      <c r="B182" s="43"/>
      <c r="G182" s="55"/>
      <c r="H182" s="43"/>
    </row>
    <row r="183" ht="15.75" customHeight="1">
      <c r="A183" s="55"/>
      <c r="B183" s="43"/>
      <c r="G183" s="55"/>
      <c r="H183" s="43"/>
    </row>
    <row r="184" ht="15.75" customHeight="1">
      <c r="A184" s="55"/>
      <c r="B184" s="43"/>
      <c r="G184" s="55"/>
      <c r="H184" s="43"/>
    </row>
    <row r="185" ht="15.75" customHeight="1">
      <c r="A185" s="55"/>
      <c r="B185" s="43"/>
      <c r="G185" s="55"/>
      <c r="H185" s="43"/>
    </row>
    <row r="186" ht="15.75" customHeight="1">
      <c r="A186" s="55"/>
      <c r="B186" s="43"/>
      <c r="G186" s="55"/>
      <c r="H186" s="43"/>
    </row>
    <row r="187" ht="15.75" customHeight="1">
      <c r="A187" s="55"/>
      <c r="B187" s="43"/>
      <c r="G187" s="55"/>
      <c r="H187" s="43"/>
    </row>
    <row r="188" ht="15.75" customHeight="1">
      <c r="A188" s="55"/>
      <c r="B188" s="43"/>
      <c r="G188" s="55"/>
      <c r="H188" s="43"/>
    </row>
    <row r="189" ht="15.75" customHeight="1">
      <c r="A189" s="55"/>
      <c r="B189" s="43"/>
      <c r="G189" s="55"/>
      <c r="H189" s="43"/>
    </row>
    <row r="190" ht="15.75" customHeight="1">
      <c r="A190" s="55"/>
      <c r="B190" s="43"/>
      <c r="G190" s="55"/>
      <c r="H190" s="43"/>
    </row>
    <row r="191" ht="15.75" customHeight="1">
      <c r="A191" s="55"/>
      <c r="B191" s="43"/>
      <c r="G191" s="55"/>
      <c r="H191" s="43"/>
    </row>
    <row r="192" ht="15.75" customHeight="1">
      <c r="A192" s="55"/>
      <c r="B192" s="43"/>
      <c r="G192" s="55"/>
      <c r="H192" s="43"/>
    </row>
    <row r="193" ht="15.75" customHeight="1">
      <c r="A193" s="55"/>
      <c r="B193" s="43"/>
      <c r="G193" s="55"/>
      <c r="H193" s="43"/>
    </row>
    <row r="194" ht="15.75" customHeight="1">
      <c r="A194" s="55"/>
      <c r="B194" s="43"/>
      <c r="G194" s="55"/>
      <c r="H194" s="43"/>
    </row>
    <row r="195" ht="15.75" customHeight="1">
      <c r="A195" s="55"/>
      <c r="B195" s="43"/>
      <c r="G195" s="55"/>
      <c r="H195" s="43"/>
    </row>
    <row r="196" ht="15.75" customHeight="1">
      <c r="A196" s="55"/>
      <c r="B196" s="43"/>
      <c r="G196" s="55"/>
      <c r="H196" s="43"/>
    </row>
    <row r="197" ht="15.75" customHeight="1">
      <c r="A197" s="55"/>
      <c r="B197" s="43"/>
      <c r="G197" s="55"/>
      <c r="H197" s="43"/>
    </row>
    <row r="198" ht="15.75" customHeight="1">
      <c r="A198" s="55"/>
      <c r="B198" s="43"/>
      <c r="G198" s="55"/>
      <c r="H198" s="43"/>
    </row>
    <row r="199" ht="15.75" customHeight="1">
      <c r="A199" s="55"/>
      <c r="B199" s="43"/>
      <c r="G199" s="55"/>
      <c r="H199" s="43"/>
    </row>
    <row r="200" ht="15.75" customHeight="1">
      <c r="A200" s="55"/>
      <c r="B200" s="43"/>
      <c r="G200" s="55"/>
      <c r="H200" s="43"/>
    </row>
    <row r="201" ht="15.75" customHeight="1">
      <c r="A201" s="55"/>
      <c r="B201" s="43"/>
      <c r="G201" s="55"/>
      <c r="H201" s="43"/>
    </row>
    <row r="202" ht="15.75" customHeight="1">
      <c r="A202" s="55"/>
      <c r="B202" s="43"/>
      <c r="G202" s="55"/>
      <c r="H202" s="43"/>
    </row>
    <row r="203" ht="15.75" customHeight="1">
      <c r="A203" s="55"/>
      <c r="B203" s="43"/>
      <c r="G203" s="55"/>
      <c r="H203" s="43"/>
    </row>
    <row r="204" ht="15.75" customHeight="1">
      <c r="A204" s="55"/>
      <c r="B204" s="43"/>
      <c r="G204" s="55"/>
      <c r="H204" s="43"/>
    </row>
    <row r="205" ht="15.75" customHeight="1">
      <c r="B205" s="43"/>
      <c r="H205" s="43"/>
    </row>
    <row r="206" ht="15.75" customHeight="1">
      <c r="B206" s="43"/>
      <c r="H206" s="43"/>
    </row>
    <row r="207" ht="15.75" customHeight="1">
      <c r="B207" s="43"/>
      <c r="H207" s="43"/>
    </row>
    <row r="208" ht="15.75" customHeight="1">
      <c r="B208" s="43"/>
      <c r="H208" s="43"/>
    </row>
    <row r="209" ht="15.75" customHeight="1">
      <c r="B209" s="43"/>
      <c r="H209" s="43"/>
    </row>
    <row r="210" ht="15.75" customHeight="1">
      <c r="B210" s="43"/>
      <c r="H210" s="43"/>
    </row>
    <row r="211" ht="15.75" customHeight="1">
      <c r="B211" s="43"/>
      <c r="H211" s="43"/>
    </row>
    <row r="212" ht="15.75" customHeight="1">
      <c r="B212" s="43"/>
      <c r="H212" s="43"/>
    </row>
    <row r="213" ht="15.75" customHeight="1">
      <c r="B213" s="43"/>
      <c r="H213" s="43"/>
    </row>
    <row r="214" ht="15.75" customHeight="1">
      <c r="B214" s="43"/>
      <c r="H214" s="43"/>
    </row>
    <row r="215" ht="15.75" customHeight="1">
      <c r="B215" s="43"/>
      <c r="H215" s="43"/>
    </row>
    <row r="216" ht="15.75" customHeight="1">
      <c r="B216" s="43"/>
      <c r="H216" s="43"/>
    </row>
    <row r="217" ht="15.75" customHeight="1">
      <c r="B217" s="43"/>
      <c r="H217" s="43"/>
    </row>
    <row r="218" ht="15.75" customHeight="1">
      <c r="B218" s="43"/>
      <c r="H218" s="43"/>
    </row>
    <row r="219" ht="15.75" customHeight="1">
      <c r="B219" s="43"/>
      <c r="H219" s="43"/>
    </row>
    <row r="220" ht="15.75" customHeight="1">
      <c r="B220" s="43"/>
      <c r="H220" s="43"/>
    </row>
    <row r="221" ht="15.75" customHeight="1">
      <c r="B221" s="65"/>
      <c r="H221" s="65"/>
    </row>
    <row r="222" ht="15.75" customHeight="1">
      <c r="B222" s="65"/>
      <c r="H222" s="65"/>
    </row>
    <row r="223" ht="15.75" customHeight="1">
      <c r="B223" s="65"/>
      <c r="H223" s="65"/>
    </row>
    <row r="224" ht="15.75" customHeight="1">
      <c r="B224" s="65"/>
      <c r="H224" s="65"/>
    </row>
    <row r="225" ht="15.75" customHeight="1">
      <c r="B225" s="65"/>
      <c r="H225" s="65"/>
    </row>
    <row r="226" ht="15.75" customHeight="1">
      <c r="B226" s="65"/>
      <c r="H226" s="65"/>
    </row>
    <row r="227" ht="15.75" customHeight="1">
      <c r="B227" s="65"/>
      <c r="H227" s="65"/>
    </row>
    <row r="228" ht="15.75" customHeight="1">
      <c r="B228" s="65"/>
      <c r="H228" s="65"/>
    </row>
    <row r="229" ht="15.75" customHeight="1">
      <c r="B229" s="65"/>
      <c r="H229" s="65"/>
    </row>
    <row r="230" ht="15.75" customHeight="1">
      <c r="B230" s="65"/>
      <c r="H230" s="65"/>
    </row>
    <row r="231" ht="15.75" customHeight="1">
      <c r="B231" s="65"/>
      <c r="H231" s="65"/>
    </row>
    <row r="232" ht="15.75" customHeight="1">
      <c r="B232" s="65"/>
      <c r="H232" s="65"/>
    </row>
    <row r="233" ht="15.75" customHeight="1">
      <c r="B233" s="65"/>
      <c r="H233" s="65"/>
    </row>
    <row r="234" ht="15.75" customHeight="1">
      <c r="B234" s="65"/>
      <c r="H234" s="65"/>
    </row>
    <row r="235" ht="15.75" customHeight="1">
      <c r="B235" s="65"/>
      <c r="H235" s="65"/>
    </row>
    <row r="236" ht="15.75" customHeight="1">
      <c r="B236" s="65"/>
      <c r="H236" s="65"/>
    </row>
    <row r="237" ht="15.75" customHeight="1">
      <c r="B237" s="65"/>
      <c r="H237" s="65"/>
    </row>
    <row r="238" ht="15.75" customHeight="1">
      <c r="B238" s="65"/>
      <c r="H238" s="65"/>
    </row>
    <row r="239" ht="15.75" customHeight="1">
      <c r="B239" s="65"/>
      <c r="H239" s="65"/>
    </row>
    <row r="240" ht="15.75" customHeight="1">
      <c r="B240" s="65"/>
      <c r="H240" s="65"/>
    </row>
    <row r="241" ht="15.75" customHeight="1">
      <c r="B241" s="65"/>
      <c r="H241" s="65"/>
    </row>
    <row r="242" ht="15.75" customHeight="1">
      <c r="B242" s="65"/>
      <c r="H242" s="65"/>
    </row>
    <row r="243" ht="15.75" customHeight="1">
      <c r="B243" s="65"/>
      <c r="H243" s="65"/>
    </row>
    <row r="244" ht="15.75" customHeight="1">
      <c r="B244" s="65"/>
      <c r="H244" s="65"/>
    </row>
    <row r="245" ht="15.75" customHeight="1">
      <c r="B245" s="65"/>
      <c r="H245" s="65"/>
    </row>
    <row r="246" ht="15.75" customHeight="1">
      <c r="B246" s="65"/>
      <c r="H246" s="65"/>
    </row>
    <row r="247" ht="15.75" customHeight="1">
      <c r="B247" s="65"/>
      <c r="H247" s="65"/>
    </row>
    <row r="248" ht="15.75" customHeight="1">
      <c r="B248" s="65"/>
      <c r="H248" s="65"/>
    </row>
    <row r="249" ht="15.75" customHeight="1">
      <c r="B249" s="65"/>
      <c r="H249" s="65"/>
    </row>
    <row r="250" ht="15.75" customHeight="1">
      <c r="B250" s="65"/>
      <c r="H250" s="65"/>
    </row>
    <row r="251" ht="15.75" customHeight="1">
      <c r="B251" s="65"/>
      <c r="H251" s="65"/>
    </row>
    <row r="252" ht="15.75" customHeight="1">
      <c r="B252" s="65"/>
      <c r="H252" s="65"/>
    </row>
    <row r="253" ht="15.75" customHeight="1">
      <c r="B253" s="65"/>
      <c r="H253" s="65"/>
    </row>
    <row r="254" ht="15.75" customHeight="1">
      <c r="B254" s="65"/>
      <c r="H254" s="65"/>
    </row>
    <row r="255" ht="15.75" customHeight="1">
      <c r="B255" s="65"/>
      <c r="H255" s="65"/>
    </row>
    <row r="256" ht="15.75" customHeight="1">
      <c r="B256" s="65"/>
      <c r="H256" s="65"/>
    </row>
    <row r="257" ht="15.75" customHeight="1">
      <c r="B257" s="65"/>
      <c r="H257" s="65"/>
    </row>
    <row r="258" ht="15.75" customHeight="1">
      <c r="B258" s="65"/>
      <c r="H258" s="65"/>
    </row>
    <row r="259" ht="15.75" customHeight="1">
      <c r="B259" s="65"/>
      <c r="H259" s="65"/>
    </row>
    <row r="260" ht="15.75" customHeight="1">
      <c r="B260" s="65"/>
      <c r="H260" s="65"/>
    </row>
    <row r="261" ht="15.75" customHeight="1">
      <c r="B261" s="65"/>
      <c r="H261" s="65"/>
    </row>
    <row r="262" ht="15.75" customHeight="1">
      <c r="B262" s="65"/>
      <c r="H262" s="65"/>
    </row>
    <row r="263" ht="15.75" customHeight="1">
      <c r="B263" s="65"/>
      <c r="H263" s="65"/>
    </row>
    <row r="264" ht="15.75" customHeight="1">
      <c r="B264" s="65"/>
      <c r="H264" s="65"/>
    </row>
    <row r="265" ht="15.75" customHeight="1">
      <c r="B265" s="65"/>
      <c r="H265" s="65"/>
    </row>
    <row r="266" ht="15.75" customHeight="1">
      <c r="B266" s="65"/>
      <c r="H266" s="65"/>
    </row>
    <row r="267" ht="15.75" customHeight="1">
      <c r="B267" s="65"/>
      <c r="H267" s="65"/>
    </row>
    <row r="268" ht="15.75" customHeight="1">
      <c r="B268" s="65"/>
      <c r="H268" s="65"/>
    </row>
    <row r="269" ht="15.75" customHeight="1">
      <c r="B269" s="65"/>
      <c r="H269" s="65"/>
    </row>
    <row r="270" ht="15.75" customHeight="1">
      <c r="B270" s="65"/>
      <c r="H270" s="65"/>
    </row>
    <row r="271" ht="15.75" customHeight="1">
      <c r="B271" s="65"/>
      <c r="H271" s="65"/>
    </row>
    <row r="272" ht="15.75" customHeight="1">
      <c r="B272" s="65"/>
      <c r="H272" s="65"/>
    </row>
    <row r="273" ht="15.75" customHeight="1">
      <c r="B273" s="65"/>
      <c r="H273" s="65"/>
    </row>
    <row r="274" ht="15.75" customHeight="1">
      <c r="B274" s="65"/>
      <c r="H274" s="65"/>
    </row>
    <row r="275" ht="15.75" customHeight="1">
      <c r="B275" s="65"/>
      <c r="H275" s="65"/>
    </row>
    <row r="276" ht="15.75" customHeight="1">
      <c r="B276" s="65"/>
      <c r="H276" s="65"/>
    </row>
    <row r="277" ht="15.75" customHeight="1">
      <c r="B277" s="65"/>
      <c r="H277" s="65"/>
    </row>
    <row r="278" ht="15.75" customHeight="1">
      <c r="B278" s="65"/>
      <c r="H278" s="65"/>
    </row>
    <row r="279" ht="15.75" customHeight="1">
      <c r="B279" s="65"/>
      <c r="H279" s="65"/>
    </row>
    <row r="280" ht="15.75" customHeight="1">
      <c r="B280" s="65"/>
      <c r="H280" s="65"/>
    </row>
    <row r="281" ht="15.75" customHeight="1">
      <c r="B281" s="65"/>
      <c r="H281" s="65"/>
    </row>
    <row r="282" ht="15.75" customHeight="1">
      <c r="B282" s="65"/>
      <c r="H282" s="65"/>
    </row>
    <row r="283" ht="15.75" customHeight="1">
      <c r="B283" s="65"/>
      <c r="H283" s="65"/>
    </row>
    <row r="284" ht="15.75" customHeight="1">
      <c r="B284" s="65"/>
      <c r="H284" s="65"/>
    </row>
    <row r="285" ht="15.75" customHeight="1">
      <c r="B285" s="65"/>
      <c r="H285" s="65"/>
    </row>
    <row r="286" ht="15.75" customHeight="1">
      <c r="B286" s="65"/>
      <c r="H286" s="65"/>
    </row>
    <row r="287" ht="15.75" customHeight="1">
      <c r="B287" s="65"/>
      <c r="H287" s="65"/>
    </row>
    <row r="288" ht="15.75" customHeight="1">
      <c r="B288" s="65"/>
      <c r="H288" s="65"/>
    </row>
    <row r="289" ht="15.75" customHeight="1">
      <c r="B289" s="65"/>
      <c r="H289" s="65"/>
    </row>
    <row r="290" ht="15.75" customHeight="1">
      <c r="B290" s="65"/>
      <c r="H290" s="65"/>
    </row>
    <row r="291" ht="15.75" customHeight="1">
      <c r="B291" s="65"/>
      <c r="H291" s="65"/>
    </row>
    <row r="292" ht="15.75" customHeight="1">
      <c r="B292" s="65"/>
      <c r="H292" s="65"/>
    </row>
    <row r="293" ht="15.75" customHeight="1">
      <c r="B293" s="65"/>
      <c r="H293" s="65"/>
    </row>
    <row r="294" ht="15.75" customHeight="1">
      <c r="B294" s="65"/>
      <c r="H294" s="65"/>
    </row>
    <row r="295" ht="15.75" customHeight="1">
      <c r="B295" s="65"/>
      <c r="H295" s="65"/>
    </row>
    <row r="296" ht="15.75" customHeight="1">
      <c r="B296" s="65"/>
      <c r="H296" s="65"/>
    </row>
    <row r="297" ht="15.75" customHeight="1">
      <c r="B297" s="65"/>
      <c r="H297" s="65"/>
    </row>
    <row r="298" ht="15.75" customHeight="1">
      <c r="B298" s="65"/>
      <c r="H298" s="65"/>
    </row>
    <row r="299" ht="15.75" customHeight="1">
      <c r="B299" s="65"/>
      <c r="H299" s="65"/>
    </row>
    <row r="300" ht="15.75" customHeight="1">
      <c r="B300" s="65"/>
      <c r="H300" s="65"/>
    </row>
    <row r="301" ht="15.75" customHeight="1">
      <c r="B301" s="65"/>
      <c r="H301" s="65"/>
    </row>
    <row r="302" ht="15.75" customHeight="1">
      <c r="B302" s="65"/>
      <c r="H302" s="65"/>
    </row>
    <row r="303" ht="15.75" customHeight="1">
      <c r="B303" s="65"/>
      <c r="H303" s="65"/>
    </row>
    <row r="304" ht="15.75" customHeight="1">
      <c r="B304" s="65"/>
      <c r="H304" s="65"/>
    </row>
    <row r="305" ht="15.75" customHeight="1">
      <c r="B305" s="65"/>
      <c r="H305" s="65"/>
    </row>
    <row r="306" ht="15.75" customHeight="1">
      <c r="B306" s="65"/>
      <c r="H306" s="65"/>
    </row>
    <row r="307" ht="15.75" customHeight="1">
      <c r="B307" s="65"/>
      <c r="H307" s="65"/>
    </row>
    <row r="308" ht="15.75" customHeight="1">
      <c r="B308" s="65"/>
      <c r="H308" s="65"/>
    </row>
    <row r="309" ht="15.75" customHeight="1">
      <c r="B309" s="65"/>
      <c r="H309" s="65"/>
    </row>
    <row r="310" ht="15.75" customHeight="1">
      <c r="B310" s="65"/>
      <c r="H310" s="65"/>
    </row>
    <row r="311" ht="15.75" customHeight="1">
      <c r="B311" s="65"/>
      <c r="H311" s="65"/>
    </row>
    <row r="312" ht="15.75" customHeight="1">
      <c r="B312" s="65"/>
      <c r="H312" s="65"/>
    </row>
    <row r="313" ht="15.75" customHeight="1">
      <c r="B313" s="65"/>
      <c r="H313" s="65"/>
    </row>
    <row r="314" ht="15.75" customHeight="1">
      <c r="B314" s="65"/>
      <c r="H314" s="65"/>
    </row>
    <row r="315" ht="15.75" customHeight="1">
      <c r="B315" s="65"/>
      <c r="H315" s="65"/>
    </row>
    <row r="316" ht="15.75" customHeight="1">
      <c r="B316" s="65"/>
      <c r="H316" s="65"/>
    </row>
    <row r="317" ht="15.75" customHeight="1">
      <c r="B317" s="65"/>
      <c r="H317" s="65"/>
    </row>
    <row r="318" ht="15.75" customHeight="1">
      <c r="B318" s="65"/>
      <c r="H318" s="65"/>
    </row>
    <row r="319" ht="15.75" customHeight="1">
      <c r="B319" s="65"/>
      <c r="H319" s="65"/>
    </row>
    <row r="320" ht="15.75" customHeight="1">
      <c r="B320" s="65"/>
      <c r="H320" s="65"/>
    </row>
    <row r="321" ht="15.75" customHeight="1">
      <c r="B321" s="65"/>
      <c r="H321" s="65"/>
    </row>
    <row r="322" ht="15.75" customHeight="1">
      <c r="B322" s="65"/>
      <c r="H322" s="65"/>
    </row>
    <row r="323" ht="15.75" customHeight="1">
      <c r="B323" s="65"/>
      <c r="H323" s="65"/>
    </row>
    <row r="324" ht="15.75" customHeight="1">
      <c r="B324" s="65"/>
      <c r="H324" s="65"/>
    </row>
    <row r="325" ht="15.75" customHeight="1">
      <c r="B325" s="65"/>
      <c r="H325" s="65"/>
    </row>
    <row r="326" ht="15.75" customHeight="1">
      <c r="B326" s="65"/>
      <c r="H326" s="65"/>
    </row>
    <row r="327" ht="15.75" customHeight="1">
      <c r="B327" s="65"/>
      <c r="H327" s="65"/>
    </row>
    <row r="328" ht="15.75" customHeight="1">
      <c r="B328" s="65"/>
      <c r="H328" s="65"/>
    </row>
    <row r="329" ht="15.75" customHeight="1">
      <c r="B329" s="65"/>
      <c r="H329" s="65"/>
    </row>
    <row r="330" ht="15.75" customHeight="1">
      <c r="B330" s="65"/>
      <c r="H330" s="65"/>
    </row>
    <row r="331" ht="15.75" customHeight="1">
      <c r="B331" s="65"/>
      <c r="H331" s="65"/>
    </row>
    <row r="332" ht="15.75" customHeight="1">
      <c r="B332" s="65"/>
      <c r="H332" s="65"/>
    </row>
    <row r="333" ht="15.75" customHeight="1">
      <c r="B333" s="65"/>
      <c r="H333" s="65"/>
    </row>
    <row r="334" ht="15.75" customHeight="1">
      <c r="B334" s="65"/>
      <c r="H334" s="65"/>
    </row>
    <row r="335" ht="15.75" customHeight="1">
      <c r="B335" s="65"/>
      <c r="H335" s="65"/>
    </row>
    <row r="336" ht="15.75" customHeight="1">
      <c r="B336" s="65"/>
      <c r="H336" s="65"/>
    </row>
    <row r="337" ht="15.75" customHeight="1">
      <c r="B337" s="65"/>
      <c r="H337" s="65"/>
    </row>
    <row r="338" ht="15.75" customHeight="1">
      <c r="B338" s="65"/>
      <c r="H338" s="65"/>
    </row>
    <row r="339" ht="15.75" customHeight="1">
      <c r="B339" s="65"/>
      <c r="H339" s="65"/>
    </row>
    <row r="340" ht="15.75" customHeight="1">
      <c r="B340" s="65"/>
      <c r="H340" s="65"/>
    </row>
    <row r="341" ht="15.75" customHeight="1">
      <c r="B341" s="65"/>
      <c r="H341" s="65"/>
    </row>
    <row r="342" ht="15.75" customHeight="1">
      <c r="B342" s="65"/>
      <c r="H342" s="65"/>
    </row>
    <row r="343" ht="15.75" customHeight="1">
      <c r="B343" s="65"/>
      <c r="H343" s="65"/>
    </row>
    <row r="344" ht="15.75" customHeight="1">
      <c r="B344" s="65"/>
      <c r="H344" s="65"/>
    </row>
    <row r="345" ht="15.75" customHeight="1">
      <c r="B345" s="65"/>
      <c r="H345" s="65"/>
    </row>
    <row r="346" ht="15.75" customHeight="1">
      <c r="B346" s="65"/>
      <c r="H346" s="65"/>
    </row>
    <row r="347" ht="15.75" customHeight="1">
      <c r="B347" s="65"/>
      <c r="H347" s="65"/>
    </row>
    <row r="348" ht="15.75" customHeight="1">
      <c r="B348" s="65"/>
      <c r="H348" s="65"/>
    </row>
    <row r="349" ht="15.75" customHeight="1">
      <c r="B349" s="65"/>
      <c r="H349" s="65"/>
    </row>
    <row r="350" ht="15.75" customHeight="1">
      <c r="B350" s="65"/>
      <c r="H350" s="65"/>
    </row>
    <row r="351" ht="15.75" customHeight="1">
      <c r="B351" s="65"/>
      <c r="H351" s="65"/>
    </row>
    <row r="352" ht="15.75" customHeight="1">
      <c r="B352" s="65"/>
      <c r="H352" s="65"/>
    </row>
    <row r="353" ht="15.75" customHeight="1">
      <c r="B353" s="65"/>
      <c r="H353" s="65"/>
    </row>
    <row r="354" ht="15.75" customHeight="1">
      <c r="B354" s="65"/>
      <c r="H354" s="65"/>
    </row>
    <row r="355" ht="15.75" customHeight="1">
      <c r="B355" s="65"/>
      <c r="H355" s="65"/>
    </row>
    <row r="356" ht="15.75" customHeight="1">
      <c r="B356" s="65"/>
      <c r="H356" s="65"/>
    </row>
    <row r="357" ht="15.75" customHeight="1">
      <c r="B357" s="65"/>
      <c r="H357" s="65"/>
    </row>
    <row r="358" ht="15.75" customHeight="1">
      <c r="B358" s="65"/>
      <c r="H358" s="65"/>
    </row>
    <row r="359" ht="15.75" customHeight="1">
      <c r="B359" s="65"/>
      <c r="H359" s="65"/>
    </row>
    <row r="360" ht="15.75" customHeight="1">
      <c r="B360" s="65"/>
      <c r="H360" s="65"/>
    </row>
    <row r="361" ht="15.75" customHeight="1">
      <c r="B361" s="65"/>
      <c r="H361" s="65"/>
    </row>
    <row r="362" ht="15.75" customHeight="1">
      <c r="B362" s="65"/>
      <c r="H362" s="65"/>
    </row>
    <row r="363" ht="15.75" customHeight="1">
      <c r="B363" s="65"/>
      <c r="H363" s="65"/>
    </row>
    <row r="364" ht="15.75" customHeight="1">
      <c r="B364" s="65"/>
      <c r="H364" s="65"/>
    </row>
    <row r="365" ht="15.75" customHeight="1">
      <c r="B365" s="65"/>
      <c r="H365" s="65"/>
    </row>
    <row r="366" ht="15.75" customHeight="1">
      <c r="B366" s="65"/>
      <c r="H366" s="65"/>
    </row>
    <row r="367" ht="15.75" customHeight="1">
      <c r="B367" s="65"/>
      <c r="H367" s="65"/>
    </row>
    <row r="368" ht="15.75" customHeight="1">
      <c r="B368" s="65"/>
      <c r="H368" s="65"/>
    </row>
    <row r="369" ht="15.75" customHeight="1">
      <c r="B369" s="65"/>
      <c r="H369" s="65"/>
    </row>
    <row r="370" ht="15.75" customHeight="1">
      <c r="B370" s="65"/>
      <c r="H370" s="65"/>
    </row>
    <row r="371" ht="15.75" customHeight="1">
      <c r="B371" s="65"/>
      <c r="H371" s="65"/>
    </row>
    <row r="372" ht="15.75" customHeight="1">
      <c r="B372" s="65"/>
      <c r="H372" s="65"/>
    </row>
    <row r="373" ht="15.75" customHeight="1">
      <c r="B373" s="65"/>
      <c r="H373" s="65"/>
    </row>
    <row r="374" ht="15.75" customHeight="1">
      <c r="B374" s="65"/>
      <c r="H374" s="65"/>
    </row>
    <row r="375" ht="15.75" customHeight="1">
      <c r="B375" s="65"/>
      <c r="H375" s="65"/>
    </row>
    <row r="376" ht="15.75" customHeight="1">
      <c r="B376" s="65"/>
      <c r="H376" s="65"/>
    </row>
    <row r="377" ht="15.75" customHeight="1">
      <c r="B377" s="65"/>
      <c r="H377" s="65"/>
    </row>
    <row r="378" ht="15.75" customHeight="1">
      <c r="B378" s="65"/>
      <c r="H378" s="65"/>
    </row>
    <row r="379" ht="15.75" customHeight="1">
      <c r="B379" s="65"/>
      <c r="H379" s="65"/>
    </row>
    <row r="380" ht="15.75" customHeight="1">
      <c r="B380" s="65"/>
      <c r="H380" s="65"/>
    </row>
    <row r="381" ht="15.75" customHeight="1">
      <c r="B381" s="65"/>
      <c r="H381" s="65"/>
    </row>
    <row r="382" ht="15.75" customHeight="1">
      <c r="B382" s="65"/>
      <c r="H382" s="65"/>
    </row>
    <row r="383" ht="15.75" customHeight="1">
      <c r="B383" s="65"/>
      <c r="H383" s="65"/>
    </row>
    <row r="384" ht="15.75" customHeight="1">
      <c r="B384" s="65"/>
      <c r="H384" s="65"/>
    </row>
    <row r="385" ht="15.75" customHeight="1">
      <c r="B385" s="65"/>
      <c r="H385" s="65"/>
    </row>
    <row r="386" ht="15.75" customHeight="1">
      <c r="B386" s="65"/>
      <c r="H386" s="65"/>
    </row>
    <row r="387" ht="15.75" customHeight="1">
      <c r="B387" s="65"/>
      <c r="H387" s="65"/>
    </row>
    <row r="388" ht="15.75" customHeight="1">
      <c r="B388" s="65"/>
      <c r="H388" s="65"/>
    </row>
    <row r="389" ht="15.75" customHeight="1">
      <c r="B389" s="65"/>
      <c r="H389" s="65"/>
    </row>
    <row r="390" ht="15.75" customHeight="1">
      <c r="B390" s="65"/>
      <c r="H390" s="65"/>
    </row>
    <row r="391" ht="15.75" customHeight="1">
      <c r="B391" s="65"/>
      <c r="H391" s="65"/>
    </row>
    <row r="392" ht="15.75" customHeight="1">
      <c r="B392" s="65"/>
      <c r="H392" s="65"/>
    </row>
    <row r="393" ht="15.75" customHeight="1">
      <c r="B393" s="65"/>
      <c r="H393" s="65"/>
    </row>
    <row r="394" ht="15.75" customHeight="1">
      <c r="B394" s="65"/>
      <c r="H394" s="65"/>
    </row>
    <row r="395" ht="15.75" customHeight="1">
      <c r="B395" s="65"/>
      <c r="H395" s="65"/>
    </row>
    <row r="396" ht="15.75" customHeight="1">
      <c r="B396" s="65"/>
      <c r="H396" s="65"/>
    </row>
    <row r="397" ht="15.75" customHeight="1">
      <c r="B397" s="65"/>
      <c r="H397" s="65"/>
    </row>
    <row r="398" ht="15.75" customHeight="1">
      <c r="B398" s="65"/>
      <c r="H398" s="65"/>
    </row>
    <row r="399" ht="15.75" customHeight="1">
      <c r="B399" s="65"/>
      <c r="H399" s="65"/>
    </row>
    <row r="400" ht="15.75" customHeight="1">
      <c r="B400" s="65"/>
      <c r="H400" s="65"/>
    </row>
    <row r="401" ht="15.75" customHeight="1">
      <c r="B401" s="65"/>
      <c r="H401" s="65"/>
    </row>
    <row r="402" ht="15.75" customHeight="1">
      <c r="B402" s="65"/>
      <c r="H402" s="65"/>
    </row>
    <row r="403" ht="15.75" customHeight="1">
      <c r="B403" s="65"/>
      <c r="H403" s="65"/>
    </row>
    <row r="404" ht="15.75" customHeight="1">
      <c r="B404" s="65"/>
      <c r="H404" s="65"/>
    </row>
    <row r="405" ht="15.75" customHeight="1">
      <c r="B405" s="65"/>
      <c r="H405" s="65"/>
    </row>
    <row r="406" ht="15.75" customHeight="1">
      <c r="B406" s="65"/>
      <c r="H406" s="65"/>
    </row>
    <row r="407" ht="15.75" customHeight="1">
      <c r="B407" s="65"/>
      <c r="H407" s="65"/>
    </row>
    <row r="408" ht="15.75" customHeight="1">
      <c r="B408" s="65"/>
      <c r="H408" s="65"/>
    </row>
    <row r="409" ht="15.75" customHeight="1">
      <c r="B409" s="65"/>
      <c r="H409" s="65"/>
    </row>
    <row r="410" ht="15.75" customHeight="1">
      <c r="B410" s="65"/>
      <c r="H410" s="65"/>
    </row>
    <row r="411" ht="15.75" customHeight="1">
      <c r="B411" s="65"/>
      <c r="H411" s="65"/>
    </row>
    <row r="412" ht="15.75" customHeight="1">
      <c r="B412" s="65"/>
      <c r="H412" s="65"/>
    </row>
    <row r="413" ht="15.75" customHeight="1">
      <c r="B413" s="65"/>
      <c r="H413" s="65"/>
    </row>
    <row r="414" ht="15.75" customHeight="1">
      <c r="B414" s="65"/>
      <c r="H414" s="65"/>
    </row>
    <row r="415" ht="15.75" customHeight="1">
      <c r="B415" s="65"/>
      <c r="H415" s="65"/>
    </row>
    <row r="416" ht="15.75" customHeight="1">
      <c r="B416" s="65"/>
      <c r="H416" s="65"/>
    </row>
    <row r="417" ht="15.75" customHeight="1">
      <c r="B417" s="65"/>
      <c r="H417" s="65"/>
    </row>
    <row r="418" ht="15.75" customHeight="1">
      <c r="B418" s="65"/>
      <c r="H418" s="65"/>
    </row>
    <row r="419" ht="15.75" customHeight="1">
      <c r="B419" s="65"/>
      <c r="H419" s="65"/>
    </row>
    <row r="420" ht="15.75" customHeight="1">
      <c r="B420" s="65"/>
      <c r="H420" s="65"/>
    </row>
    <row r="421" ht="15.75" customHeight="1">
      <c r="B421" s="65"/>
      <c r="H421" s="65"/>
    </row>
    <row r="422" ht="15.75" customHeight="1">
      <c r="B422" s="65"/>
      <c r="H422" s="65"/>
    </row>
    <row r="423" ht="15.75" customHeight="1">
      <c r="B423" s="65"/>
      <c r="H423" s="65"/>
    </row>
    <row r="424" ht="15.75" customHeight="1">
      <c r="B424" s="65"/>
      <c r="H424" s="65"/>
    </row>
    <row r="425" ht="15.75" customHeight="1">
      <c r="B425" s="65"/>
      <c r="H425" s="65"/>
    </row>
    <row r="426" ht="15.75" customHeight="1">
      <c r="B426" s="65"/>
      <c r="H426" s="65"/>
    </row>
    <row r="427" ht="15.75" customHeight="1">
      <c r="B427" s="65"/>
      <c r="H427" s="65"/>
    </row>
    <row r="428" ht="15.75" customHeight="1">
      <c r="B428" s="65"/>
      <c r="H428" s="65"/>
    </row>
    <row r="429" ht="15.75" customHeight="1">
      <c r="B429" s="65"/>
      <c r="H429" s="65"/>
    </row>
    <row r="430" ht="15.75" customHeight="1">
      <c r="B430" s="65"/>
      <c r="H430" s="65"/>
    </row>
    <row r="431" ht="15.75" customHeight="1">
      <c r="B431" s="65"/>
      <c r="H431" s="65"/>
    </row>
    <row r="432" ht="15.75" customHeight="1">
      <c r="B432" s="65"/>
      <c r="H432" s="65"/>
    </row>
    <row r="433" ht="15.75" customHeight="1">
      <c r="B433" s="65"/>
      <c r="H433" s="65"/>
    </row>
    <row r="434" ht="15.75" customHeight="1">
      <c r="B434" s="65"/>
      <c r="H434" s="65"/>
    </row>
    <row r="435" ht="15.75" customHeight="1">
      <c r="B435" s="65"/>
      <c r="H435" s="65"/>
    </row>
    <row r="436" ht="15.75" customHeight="1">
      <c r="B436" s="65"/>
      <c r="H436" s="65"/>
    </row>
    <row r="437" ht="15.75" customHeight="1">
      <c r="B437" s="65"/>
      <c r="H437" s="65"/>
    </row>
    <row r="438" ht="15.75" customHeight="1">
      <c r="B438" s="65"/>
      <c r="H438" s="65"/>
    </row>
    <row r="439" ht="15.75" customHeight="1">
      <c r="B439" s="65"/>
      <c r="H439" s="65"/>
    </row>
    <row r="440" ht="15.75" customHeight="1">
      <c r="B440" s="65"/>
      <c r="H440" s="65"/>
    </row>
    <row r="441" ht="15.75" customHeight="1">
      <c r="B441" s="65"/>
      <c r="H441" s="65"/>
    </row>
    <row r="442" ht="15.75" customHeight="1">
      <c r="B442" s="65"/>
      <c r="H442" s="65"/>
    </row>
    <row r="443" ht="15.75" customHeight="1">
      <c r="B443" s="65"/>
      <c r="H443" s="65"/>
    </row>
    <row r="444" ht="15.75" customHeight="1">
      <c r="B444" s="65"/>
      <c r="H444" s="65"/>
    </row>
    <row r="445" ht="15.75" customHeight="1">
      <c r="B445" s="65"/>
      <c r="H445" s="65"/>
    </row>
    <row r="446" ht="15.75" customHeight="1">
      <c r="B446" s="65"/>
      <c r="H446" s="65"/>
    </row>
    <row r="447" ht="15.75" customHeight="1">
      <c r="B447" s="65"/>
      <c r="H447" s="65"/>
    </row>
    <row r="448" ht="15.75" customHeight="1">
      <c r="B448" s="65"/>
      <c r="H448" s="65"/>
    </row>
    <row r="449" ht="15.75" customHeight="1">
      <c r="B449" s="65"/>
      <c r="H449" s="65"/>
    </row>
    <row r="450" ht="15.75" customHeight="1">
      <c r="B450" s="65"/>
      <c r="H450" s="65"/>
    </row>
    <row r="451" ht="15.75" customHeight="1">
      <c r="B451" s="65"/>
      <c r="H451" s="65"/>
    </row>
    <row r="452" ht="15.75" customHeight="1">
      <c r="B452" s="65"/>
      <c r="H452" s="65"/>
    </row>
    <row r="453" ht="15.75" customHeight="1">
      <c r="B453" s="65"/>
      <c r="H453" s="65"/>
    </row>
    <row r="454" ht="15.75" customHeight="1">
      <c r="B454" s="65"/>
      <c r="H454" s="65"/>
    </row>
    <row r="455" ht="15.75" customHeight="1">
      <c r="B455" s="65"/>
      <c r="H455" s="65"/>
    </row>
    <row r="456" ht="15.75" customHeight="1">
      <c r="B456" s="65"/>
      <c r="H456" s="65"/>
    </row>
    <row r="457" ht="15.75" customHeight="1">
      <c r="B457" s="65"/>
      <c r="H457" s="65"/>
    </row>
    <row r="458" ht="15.75" customHeight="1">
      <c r="B458" s="65"/>
      <c r="H458" s="65"/>
    </row>
    <row r="459" ht="15.75" customHeight="1">
      <c r="B459" s="65"/>
      <c r="H459" s="65"/>
    </row>
    <row r="460" ht="15.75" customHeight="1">
      <c r="B460" s="65"/>
      <c r="H460" s="65"/>
    </row>
    <row r="461" ht="15.75" customHeight="1">
      <c r="B461" s="65"/>
      <c r="H461" s="65"/>
    </row>
    <row r="462" ht="15.75" customHeight="1">
      <c r="B462" s="65"/>
      <c r="H462" s="65"/>
    </row>
    <row r="463" ht="15.75" customHeight="1">
      <c r="B463" s="65"/>
      <c r="H463" s="65"/>
    </row>
    <row r="464" ht="15.75" customHeight="1">
      <c r="B464" s="65"/>
      <c r="H464" s="65"/>
    </row>
    <row r="465" ht="15.75" customHeight="1">
      <c r="B465" s="65"/>
      <c r="H465" s="65"/>
    </row>
    <row r="466" ht="15.75" customHeight="1">
      <c r="B466" s="65"/>
      <c r="H466" s="65"/>
    </row>
    <row r="467" ht="15.75" customHeight="1">
      <c r="B467" s="65"/>
      <c r="H467" s="65"/>
    </row>
    <row r="468" ht="15.75" customHeight="1">
      <c r="B468" s="65"/>
      <c r="H468" s="65"/>
    </row>
    <row r="469" ht="15.75" customHeight="1">
      <c r="B469" s="65"/>
      <c r="H469" s="65"/>
    </row>
    <row r="470" ht="15.75" customHeight="1">
      <c r="B470" s="65"/>
      <c r="H470" s="65"/>
    </row>
    <row r="471" ht="15.75" customHeight="1">
      <c r="B471" s="65"/>
      <c r="H471" s="65"/>
    </row>
    <row r="472" ht="15.75" customHeight="1">
      <c r="B472" s="65"/>
      <c r="H472" s="65"/>
    </row>
    <row r="473" ht="15.75" customHeight="1">
      <c r="B473" s="65"/>
      <c r="H473" s="65"/>
    </row>
    <row r="474" ht="15.75" customHeight="1">
      <c r="B474" s="65"/>
      <c r="H474" s="65"/>
    </row>
    <row r="475" ht="15.75" customHeight="1">
      <c r="B475" s="65"/>
      <c r="H475" s="65"/>
    </row>
    <row r="476" ht="15.75" customHeight="1">
      <c r="B476" s="65"/>
      <c r="H476" s="65"/>
    </row>
    <row r="477" ht="15.75" customHeight="1">
      <c r="B477" s="65"/>
      <c r="H477" s="65"/>
    </row>
    <row r="478" ht="15.75" customHeight="1">
      <c r="B478" s="65"/>
      <c r="H478" s="65"/>
    </row>
    <row r="479" ht="15.75" customHeight="1">
      <c r="B479" s="65"/>
      <c r="H479" s="65"/>
    </row>
    <row r="480" ht="15.75" customHeight="1">
      <c r="B480" s="65"/>
      <c r="H480" s="65"/>
    </row>
    <row r="481" ht="15.75" customHeight="1">
      <c r="B481" s="65"/>
      <c r="H481" s="65"/>
    </row>
    <row r="482" ht="15.75" customHeight="1">
      <c r="B482" s="65"/>
      <c r="H482" s="65"/>
    </row>
    <row r="483" ht="15.75" customHeight="1">
      <c r="B483" s="65"/>
      <c r="H483" s="65"/>
    </row>
    <row r="484" ht="15.75" customHeight="1">
      <c r="B484" s="65"/>
      <c r="H484" s="65"/>
    </row>
    <row r="485" ht="15.75" customHeight="1">
      <c r="B485" s="65"/>
      <c r="H485" s="65"/>
    </row>
    <row r="486" ht="15.75" customHeight="1">
      <c r="B486" s="65"/>
      <c r="H486" s="65"/>
    </row>
    <row r="487" ht="15.75" customHeight="1">
      <c r="B487" s="65"/>
      <c r="H487" s="65"/>
    </row>
    <row r="488" ht="15.75" customHeight="1">
      <c r="B488" s="65"/>
      <c r="H488" s="65"/>
    </row>
    <row r="489" ht="15.75" customHeight="1">
      <c r="B489" s="65"/>
      <c r="H489" s="65"/>
    </row>
    <row r="490" ht="15.75" customHeight="1">
      <c r="B490" s="65"/>
      <c r="H490" s="65"/>
    </row>
    <row r="491" ht="15.75" customHeight="1">
      <c r="B491" s="65"/>
      <c r="H491" s="65"/>
    </row>
    <row r="492" ht="15.75" customHeight="1">
      <c r="B492" s="65"/>
      <c r="H492" s="65"/>
    </row>
    <row r="493" ht="15.75" customHeight="1">
      <c r="B493" s="65"/>
      <c r="H493" s="65"/>
    </row>
    <row r="494" ht="15.75" customHeight="1">
      <c r="B494" s="65"/>
      <c r="H494" s="65"/>
    </row>
    <row r="495" ht="15.75" customHeight="1">
      <c r="B495" s="65"/>
      <c r="H495" s="65"/>
    </row>
    <row r="496" ht="15.75" customHeight="1">
      <c r="B496" s="65"/>
      <c r="H496" s="65"/>
    </row>
    <row r="497" ht="15.75" customHeight="1">
      <c r="B497" s="65"/>
      <c r="H497" s="65"/>
    </row>
    <row r="498" ht="15.75" customHeight="1">
      <c r="B498" s="65"/>
      <c r="H498" s="65"/>
    </row>
    <row r="499" ht="15.75" customHeight="1">
      <c r="B499" s="65"/>
      <c r="H499" s="65"/>
    </row>
    <row r="500" ht="15.75" customHeight="1">
      <c r="B500" s="65"/>
      <c r="H500" s="6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dataValidations>
    <dataValidation type="list" allowBlank="1" sqref="H5:H500">
      <formula1>"Відкрите,Виконано,Скасовано"</formula1>
    </dataValidation>
    <dataValidation type="list" allowBlank="1" sqref="B5:B500">
      <formula1>"Дзвінок,Рішення,Питання,Ризик,Ідея,Інше"</formula1>
    </dataValidation>
  </dataValidations>
  <printOptions/>
  <pageMargins bottom="1.0" footer="0.0" header="0.0" left="0.75" right="0.75" top="1.0"/>
  <pageSetup paperSize="9" orientation="portrait"/>
  <drawing r:id="rId1"/>
</worksheet>
</file>